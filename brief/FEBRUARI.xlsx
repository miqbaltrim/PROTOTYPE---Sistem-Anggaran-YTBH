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KERJAAN\INPUT ACCURATE\2026\"/>
    </mc:Choice>
  </mc:AlternateContent>
  <xr:revisionPtr revIDLastSave="0" documentId="13_ncr:1_{D281FBE3-CD61-420B-92DD-89D698A4CFEB}" xr6:coauthVersionLast="47" xr6:coauthVersionMax="47" xr10:uidLastSave="{00000000-0000-0000-0000-000000000000}"/>
  <bookViews>
    <workbookView xWindow="-120" yWindow="-120" windowWidth="29040" windowHeight="15840" xr2:uid="{25AED1EE-FC63-4179-84D9-A25DEC2B008C}"/>
  </bookViews>
  <sheets>
    <sheet name="INPUT ACCURATE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'INPUT ACCURATE'!$5:$303</definedName>
    <definedName name="B.Aparatur">#REF!</definedName>
    <definedName name="B.Publik">#REF!</definedName>
    <definedName name="DINO">[1]data!$P$3:$R$9</definedName>
    <definedName name="money">'[2]data (2)'!$T$1:$W$1008</definedName>
    <definedName name="so">'[2]data (2)'!$T$2:$V$1025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2" i="1" l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G293" i="1"/>
  <c r="H292" i="1"/>
  <c r="G292" i="1"/>
  <c r="H291" i="1"/>
  <c r="G291" i="1"/>
  <c r="H290" i="1"/>
  <c r="G290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83" i="1"/>
  <c r="G283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6" i="1"/>
  <c r="G276" i="1"/>
  <c r="H275" i="1"/>
  <c r="G275" i="1"/>
  <c r="H274" i="1"/>
  <c r="G274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E268" i="1"/>
  <c r="H267" i="1"/>
  <c r="G267" i="1"/>
  <c r="H266" i="1"/>
  <c r="G266" i="1"/>
  <c r="H265" i="1"/>
  <c r="G265" i="1"/>
  <c r="H264" i="1"/>
  <c r="G264" i="1"/>
  <c r="H263" i="1"/>
  <c r="G263" i="1"/>
  <c r="H262" i="1"/>
  <c r="G262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4" i="1"/>
  <c r="G254" i="1"/>
  <c r="H253" i="1"/>
  <c r="G253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7" i="1"/>
  <c r="G237" i="1"/>
  <c r="H236" i="1"/>
  <c r="G236" i="1"/>
  <c r="H235" i="1"/>
  <c r="G235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E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6" i="1"/>
  <c r="G196" i="1"/>
  <c r="H195" i="1"/>
  <c r="G195" i="1"/>
  <c r="H194" i="1"/>
  <c r="G194" i="1"/>
  <c r="H191" i="1"/>
  <c r="G191" i="1"/>
  <c r="H190" i="1"/>
  <c r="G190" i="1"/>
  <c r="H189" i="1"/>
  <c r="G189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4" i="1"/>
  <c r="G84" i="1"/>
  <c r="H83" i="1"/>
  <c r="G83" i="1"/>
  <c r="H82" i="1"/>
  <c r="G82" i="1"/>
  <c r="H81" i="1"/>
  <c r="G81" i="1"/>
  <c r="H80" i="1"/>
  <c r="G80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2" i="1"/>
  <c r="G62" i="1"/>
  <c r="H61" i="1"/>
  <c r="G61" i="1"/>
  <c r="H60" i="1"/>
  <c r="G60" i="1"/>
  <c r="H59" i="1"/>
  <c r="G59" i="1"/>
  <c r="H58" i="1"/>
  <c r="G58" i="1"/>
  <c r="H57" i="1"/>
  <c r="G57" i="1"/>
  <c r="E57" i="1"/>
  <c r="E303" i="1" s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</calcChain>
</file>

<file path=xl/sharedStrings.xml><?xml version="1.0" encoding="utf-8"?>
<sst xmlns="http://schemas.openxmlformats.org/spreadsheetml/2006/main" count="1515" uniqueCount="431">
  <si>
    <t>UNIVERSITAS BAKTI TUNAS HUSADA</t>
  </si>
  <si>
    <t>BUKU AKTIVITAS</t>
  </si>
  <si>
    <t>PERIODE FEBRUARI 2026</t>
  </si>
  <si>
    <t>TANGGAL</t>
  </si>
  <si>
    <t>NOMOR VOUCHER</t>
  </si>
  <si>
    <t>NU</t>
  </si>
  <si>
    <t>URAIAN TRANSAKSI</t>
  </si>
  <si>
    <t>049/INT.UNIVERSITAS BTH/II/2026</t>
  </si>
  <si>
    <t>Bimbingan profesi dan supervisi ujian PSPPN di puskesmas cikatomas</t>
  </si>
  <si>
    <t>B.UBTH.X.02</t>
  </si>
  <si>
    <t>Bimbingan profesi dan supervisi ujian PSPPN di puskesmas cisayong</t>
  </si>
  <si>
    <t>Bimbingan profesi dan supervisi ujian PSPPN di RSU banjar patroman</t>
  </si>
  <si>
    <t>Bimbingan profesi dan supervisi ujian PSPPN di RS Jasa Kartini</t>
  </si>
  <si>
    <t>Bimbingan profesi dan supervisi ujian PSPPN di RS Bunda Aisyah</t>
  </si>
  <si>
    <t>Bimbingan profesi dan supervisi ujian PSPPN di SMAN 8 Tasikmalaya</t>
  </si>
  <si>
    <t>Parkir Motor di BSI</t>
  </si>
  <si>
    <t>Pembayaran akun zoom UBTH</t>
  </si>
  <si>
    <t>B.UBTH.IX.04</t>
  </si>
  <si>
    <t>Konsumsi finishing pemberkasan perpustakaan untuk kegiatan akreditasi farmasi</t>
  </si>
  <si>
    <t>B.UBTH.IX.02</t>
  </si>
  <si>
    <t>Insentif penjilidan buku 266 eksemplar</t>
  </si>
  <si>
    <t>B.UBTH.VII.06</t>
  </si>
  <si>
    <t>Pembelian surat kabar - media indonesia</t>
  </si>
  <si>
    <t>B.UBTH.VII.01</t>
  </si>
  <si>
    <t>Pembelian surat kabar - radar</t>
  </si>
  <si>
    <t>Konsumsi PKKMB PSPPA Angkatan XIV</t>
  </si>
  <si>
    <t>Konsumsi Rapat SDM dengan dosen</t>
  </si>
  <si>
    <t>Konsumsi rapat awal program PSPPA</t>
  </si>
  <si>
    <t>Konsumsi persiapan akreditasi S1 Kep dan PSPPN</t>
  </si>
  <si>
    <t>Konsumsi rapat SDM dengan PLP</t>
  </si>
  <si>
    <t>Biaya pos pengiriman surat Mou (kerjasama)</t>
  </si>
  <si>
    <t>B.UBTH.V.04</t>
  </si>
  <si>
    <t>Konsumsi rapat saresehan pengembangan UBTH</t>
  </si>
  <si>
    <t>Konsumsi rapat evaluasi prodi PSPPA</t>
  </si>
  <si>
    <t>Konsumsi rapat persiapan SPMB S2 Farmasi</t>
  </si>
  <si>
    <t>Konsumsi rapat evaluasi fakultas farmasi</t>
  </si>
  <si>
    <t>Konsumsi stock opname laboratorium dan sarpras</t>
  </si>
  <si>
    <t>Pembayaran karangan bunga milad BSI ke-5</t>
  </si>
  <si>
    <t>Admin Transfer Pembayaran karangan bunga milad BSI ke-5</t>
  </si>
  <si>
    <t>B.UBTH.XI.02</t>
  </si>
  <si>
    <t>Lumpsum dosen ARS dalam rangka penutupan PKL di RS Santosa Kopo</t>
  </si>
  <si>
    <t>B.UBTH.X.01</t>
  </si>
  <si>
    <t>Transport PP Bandung, dosen ARS dalam rangka penutupan PKL di RS Santosa Kopo</t>
  </si>
  <si>
    <t>Lumpsum dosen ARS dalam rangka penutupan PKL di RS Santosa Central</t>
  </si>
  <si>
    <t>Bensin mobil dalam rangka penutupan PKL di RS Santosa Central</t>
  </si>
  <si>
    <t>Tol dan parkir mobil dalam rangka penutupan PKL di RS Santosa Central</t>
  </si>
  <si>
    <t>Konsumsi rapat evaluasi UBTH</t>
  </si>
  <si>
    <t>Pembelian air minum cup untuk rapat</t>
  </si>
  <si>
    <t>Pembelian tissue untuk kegiatan akreditasi farmasi</t>
  </si>
  <si>
    <t>Bensin harian mobil zenix Z 1842 MO - Pak Susanto</t>
  </si>
  <si>
    <t>B.UBTH.IX.06</t>
  </si>
  <si>
    <t>Bensin harian mobil innova Z 883 XX - Pak Beni</t>
  </si>
  <si>
    <t>Lumpsum sopir mengantar rektor ke LLDIKTI Wilayah IV (Bandung) dalam rangka focus group discussion dengan agenda pembentukan konsorsium AI</t>
  </si>
  <si>
    <t>Tol dan parkir ke LLDIKTI Wilayah IV (Bandung) dalam rangka focus group discussion dengan agenda pembentukan konsorsium AI</t>
  </si>
  <si>
    <t>Bensin untuk mengantar rektor ke LLDIKTI Wilayah IV (Bandung) dalam rangka focus group discussion dengan agenda pembentukan konsorsium AI</t>
  </si>
  <si>
    <t>Lumpsum rektor mengantar rektor ke LLDIKTI Wilayah IV (Bandung) dalam rangka focus group discussion dengan agenda pembentukan konsorsium AI</t>
  </si>
  <si>
    <t>Lumpsum dosen mengantar rektor ke LLDIKTI Wilayah IV (Bandung) dalam rangka focus group discussion dengan agenda pembentukan konsorsium AI</t>
  </si>
  <si>
    <t>Lumpsum dosen ARS dalam rangka penutupan PKL di RS Edelweis bandung</t>
  </si>
  <si>
    <t>Lumpsum Sopir mengantar dosen ARS dalam rangka penutupan PKL ARS di RS Bandung</t>
  </si>
  <si>
    <t>Pembayaran cuci taplak meja</t>
  </si>
  <si>
    <t>B.UBTH.VIII.02</t>
  </si>
  <si>
    <t>050/INT.UNIVERSITAS BTH/II/2026</t>
  </si>
  <si>
    <t>Pembayaran BPJS Ketenagakerjaan Februari 2026</t>
  </si>
  <si>
    <t>B.UBTH.I.02</t>
  </si>
  <si>
    <t>Pembayaran BPJS Kesehatan UBTH Februari 2026</t>
  </si>
  <si>
    <t>B.UBTH.I.03</t>
  </si>
  <si>
    <t>051/INT.UNIVERSITAS BTH/II/2026</t>
  </si>
  <si>
    <t>Alat bahan perbaikan AC Ruang PLP dan pemasangan AC Lab Hewan</t>
  </si>
  <si>
    <t>B.UBTH.VIII.04</t>
  </si>
  <si>
    <t>052/INT.UNIVERSITAS BTH/II/2026</t>
  </si>
  <si>
    <t>Pembayaran fotocopy dan jilid kegiatan akreditasi farmasi</t>
  </si>
  <si>
    <t>B.UBTH.VII.04</t>
  </si>
  <si>
    <t>053/INT.UNIVERSITAS BTH/II/2026</t>
  </si>
  <si>
    <t>Jas Almamater PSPPA Angkatan 14</t>
  </si>
  <si>
    <t>B.UBTH.VII.07</t>
  </si>
  <si>
    <t>054/INT.UNIVERSITAS BTH/II/2026</t>
  </si>
  <si>
    <t>BEM Upgrading dan Implementasi 2025</t>
  </si>
  <si>
    <t>B.UBTH.IV.01</t>
  </si>
  <si>
    <t>055/INT.UNIVERSITAS BTH/II/2026</t>
  </si>
  <si>
    <t>PKPA PSPPA Angkatan 13 UBTH (Dana Saving)</t>
  </si>
  <si>
    <t>SPS.VI.03</t>
  </si>
  <si>
    <t>PKPA PSPPA Angkatan 13 UBTH</t>
  </si>
  <si>
    <t>B.UBTH.XIII.23</t>
  </si>
  <si>
    <t>056/INT.UNIVERSITAS BTH/II/2026</t>
  </si>
  <si>
    <t>Pendidikan Dasar (Diksar) Mahasiswa Kuartal I (Januari - Maret)</t>
  </si>
  <si>
    <t>057/INT.UNIVERSITAS BTH/II/2026</t>
  </si>
  <si>
    <t>Pembayaran PLKM Periode Januari 2026</t>
  </si>
  <si>
    <t>B.UBTH.IV.04</t>
  </si>
  <si>
    <t>058/INT.UNIVERSITAS BTH/II/2026</t>
  </si>
  <si>
    <t>PKL 2 Prodi TLM Angkatan 2023/2024</t>
  </si>
  <si>
    <t>B.UBTH.XIV.39</t>
  </si>
  <si>
    <t>059/INT.UNIVERSITAS BTH/II/2026</t>
  </si>
  <si>
    <t>PKKMB PSPPA Angkatan XIV</t>
  </si>
  <si>
    <t>B.UBTH.IV.05</t>
  </si>
  <si>
    <t>060/INT.UNIVERSITAS BTH/II/2026</t>
  </si>
  <si>
    <t>Konsumsi Tarhib Ramadhan untuk seluruh pegawai UBTH</t>
  </si>
  <si>
    <t>061/INT.UNIVERSITAS BTH/II/2026</t>
  </si>
  <si>
    <t>Tiket Nigeria - Indonesia untuk mahasiswa Asing</t>
  </si>
  <si>
    <t>062/INT.UNIVERSITAS BTH/II/2026</t>
  </si>
  <si>
    <t>063/INT.UNIVERSITAS BTH/II/2026</t>
  </si>
  <si>
    <t>DPM Farmasi - Raker DPM dan Hima Farmasi</t>
  </si>
  <si>
    <t>064/INT.UNIVERSITAS BTH/II/2026</t>
  </si>
  <si>
    <t>UKM Futsal Pembayaran Gaji Pelatih 3 Periode</t>
  </si>
  <si>
    <t>065/INT.UNIVERSITAS BTH/II/2026</t>
  </si>
  <si>
    <t>Pra Musyawarah Nasional XXI Biaya Registrasi Kuartal I</t>
  </si>
  <si>
    <t>066/INT.UNIVERSITAS BTH/II/2026</t>
  </si>
  <si>
    <t>DPM UBTH - Raker DPM dan BEM Kuartal I</t>
  </si>
  <si>
    <t>067/INT.UNIVERSITAS BTH/II/2026</t>
  </si>
  <si>
    <t>DPM UBTH - Raker Satu Periode DPM &amp; Hima FTB</t>
  </si>
  <si>
    <t>068/INT.UNIVERSITAS BTH/II/2026</t>
  </si>
  <si>
    <t>Pengadaan Alat dan bahan Praktikum (Laboratorium)</t>
  </si>
  <si>
    <t>B.UBTH.VII.05</t>
  </si>
  <si>
    <t>069/INT.UNIVERSITAS BTH/II/2026</t>
  </si>
  <si>
    <t>Pemeliharaan inventaris dan alat laboratorium</t>
  </si>
  <si>
    <t>B.UBTH.VIII.05</t>
  </si>
  <si>
    <t>070/INT.UNIVERSITAS BTH/II/2026</t>
  </si>
  <si>
    <t>Cicilan Kendaraan Dinas UBTH</t>
  </si>
  <si>
    <t>071/INT.UNIVERSITAS BTH/II/2026</t>
  </si>
  <si>
    <t>Honor UAS Praktikum Prodi Farmasi Semester Ganjil TA 2025/2026</t>
  </si>
  <si>
    <t>B.UBTH.XIII.06</t>
  </si>
  <si>
    <t>072/INT.UNIVERSITAS BTH/II/2026</t>
  </si>
  <si>
    <t>Pembelian Kursi kerja dan lemari arsip</t>
  </si>
  <si>
    <t>073/INT.UNIVERSITAS BTH/II/2026</t>
  </si>
  <si>
    <t>Jas Profesi dan Jas Almet PSPPA 14</t>
  </si>
  <si>
    <t>074/INT.UNIVERSITAS BTH/II/2026</t>
  </si>
  <si>
    <t>Honor Adviser dan auditor atas audit pemeliharaan sarana prasarana dan laboratorium</t>
  </si>
  <si>
    <t>B.UBTH.VI.13</t>
  </si>
  <si>
    <t>076/INT.UNIVERSITAS BTH/II/2026</t>
  </si>
  <si>
    <t>Honor Fasilitator, moderator, dan tim teknis workshop OBE</t>
  </si>
  <si>
    <t>B.UBTH.XIII.28</t>
  </si>
  <si>
    <t>077/INT.UNIVERSITAS BTH/II/2026</t>
  </si>
  <si>
    <t>SPPU Beasiswa anak pegawai genap TA 2025/2026</t>
  </si>
  <si>
    <t>SPS.VI.04</t>
  </si>
  <si>
    <t>078/INT.UNIVERSITAS BTH/II/2026</t>
  </si>
  <si>
    <t>Pembayaran fotocopy</t>
  </si>
  <si>
    <t>Pembayaran running text jam digital rektorat</t>
  </si>
  <si>
    <t>079/INT.UNIVERSITAS BTH/II/2026</t>
  </si>
  <si>
    <t>Pembayaran blocknote 100 pcs (PROMAR)</t>
  </si>
  <si>
    <t>B.UBTH.V.05</t>
  </si>
  <si>
    <t>080/INT.UNIVERSITAS BTH/II/2026</t>
  </si>
  <si>
    <t>Pemasangan iklan dan sewa billboard content UBTH (PROMAR)</t>
  </si>
  <si>
    <t>081/INT.UNIVERSITAS BTH/II/2026</t>
  </si>
  <si>
    <t>Pembuatan Gift Souvernir 30 Pcs (PROMAR)</t>
  </si>
  <si>
    <t>082/INT.UNIVERSITAS BTH/II/2026</t>
  </si>
  <si>
    <t>Kumpul bersama guru BK dan Tim unit komunikasi pemasaran dan Admisi UBTH  (PROMAR)</t>
  </si>
  <si>
    <t>083/INT.UNIVERSITAS BTH/II/2026</t>
  </si>
  <si>
    <t>Pembayaran Listrik</t>
  </si>
  <si>
    <t>B.UBTH.IX.03</t>
  </si>
  <si>
    <t>084/INT.UNIVERSITAS BTH/II/2026</t>
  </si>
  <si>
    <t>Pembayaran PDAM</t>
  </si>
  <si>
    <t>B.UBTH.IX.05</t>
  </si>
  <si>
    <t>085/INT.UNIVERSITAS BTH/II/2026</t>
  </si>
  <si>
    <t>Kuliah Pakar PSPPA Angkatan 14 TA 2025/2026</t>
  </si>
  <si>
    <t>B.UBTH.XIII.15</t>
  </si>
  <si>
    <t>086/INT.UNIVERSITAS BTH/II/2026</t>
  </si>
  <si>
    <t>Pengadaan Alat dan bahan Praktikum (LAB)</t>
  </si>
  <si>
    <t>087/INT.UNIVERSITAS BTH/II/2026</t>
  </si>
  <si>
    <t xml:space="preserve">PKPA PSPPA Angkatan 13 </t>
  </si>
  <si>
    <t>089/INT.UNIVERSITAS BTH/II/2026</t>
  </si>
  <si>
    <t>Beasiswa Mahasiswa Prestasi Genap 2025/2026</t>
  </si>
  <si>
    <t>B.UBTH.IV.03</t>
  </si>
  <si>
    <t>090/INT.UNIVERSITAS BTH/II/2026</t>
  </si>
  <si>
    <t>Penarikan dana saving Akreditasi</t>
  </si>
  <si>
    <t>SPS.VI.02</t>
  </si>
  <si>
    <t>091/INT.UNIVERSITAS BTH/II/2026</t>
  </si>
  <si>
    <t>Rapat Awal Program TA Genap 2025/2026</t>
  </si>
  <si>
    <t>B.UBTH.II.01</t>
  </si>
  <si>
    <t>092/INT.UNIVERSITAS BTH/II/2026</t>
  </si>
  <si>
    <t>Beasiswa Aktif Organisasi TA 2025/2026</t>
  </si>
  <si>
    <t>093/INT.UNIVERSITAS BTH/II/2026</t>
  </si>
  <si>
    <t>Lumpsum kepala pusat karir dalam rangka menghadiri member ICCN</t>
  </si>
  <si>
    <t>Konsumsi kurikulum workshop OBE Akademik</t>
  </si>
  <si>
    <t>Pembelian ebook SOP Kurikulum OBE : dari rumusan CPL hingga evaluasi</t>
  </si>
  <si>
    <t>ATK untuk kegiatan workshop OBE</t>
  </si>
  <si>
    <t>Stempel Universitas - TU Fikes</t>
  </si>
  <si>
    <t>B.UBTH.VII.03</t>
  </si>
  <si>
    <t>Lumpsum ketua prodi ke unpad dalam rangka permohonan kesediaan mengajar di prodi S2 Farmasi</t>
  </si>
  <si>
    <t>Transport ketua prodi ke unpad dalam rangka permohonan kesediaan mengajar di prodi S2 Farmasi</t>
  </si>
  <si>
    <t>Lumpsum dosen dalam rangka penutupan PKL ARS di RS Cicendo Bandung</t>
  </si>
  <si>
    <t>Transport dosen dalam rangka penutupan PKL ARS di RS Cicendo Bandung</t>
  </si>
  <si>
    <t>Admin transfer jas almet PSPPA 14</t>
  </si>
  <si>
    <t>Lembur sabtu admin PMB Universitas BTH</t>
  </si>
  <si>
    <t>B.UBTH.I.05</t>
  </si>
  <si>
    <t>Pembelian pulsa PMB</t>
  </si>
  <si>
    <t>Lumpsum dosen dalam rangka penutupan PKL ARS di RS Rotinsulu Bandung</t>
  </si>
  <si>
    <t>Konsumsi pembuatan RPS Prodi S1 Keperawatan</t>
  </si>
  <si>
    <t>Konsumsi pembinaan rektor dengan perpustakaan</t>
  </si>
  <si>
    <t>Konsumsi kunjungan ikes rajawali bandung</t>
  </si>
  <si>
    <t>Konsumsi rapat koordinasi prodi RO</t>
  </si>
  <si>
    <t>Konsumsi rapat pembuatan RPS S1 Keperawatan</t>
  </si>
  <si>
    <t>Pembelian air minum galon</t>
  </si>
  <si>
    <t>Pembayaran laundry karpet</t>
  </si>
  <si>
    <t>B.UBTH.IX.01</t>
  </si>
  <si>
    <t>Representasi rektor dalam rangka ke LLDIKTI Wilayah IV (Bandung) dalam rangka focus group discussion dengan agenda pembentukan konsorsium AI</t>
  </si>
  <si>
    <t>B.UBTH.XI.01</t>
  </si>
  <si>
    <t>Bensin harian mobil innova Z 1848 IB - Pak Jenal</t>
  </si>
  <si>
    <t>Pembelian tatakan alat kebersihan</t>
  </si>
  <si>
    <t>Pembelian alat pel lantai</t>
  </si>
  <si>
    <t>Pembelian keset toilet</t>
  </si>
  <si>
    <t>Pembelian sajadah</t>
  </si>
  <si>
    <t>Pembelian pewangi ruangan</t>
  </si>
  <si>
    <t>Konsumsi rapat evaluasdi prodi S1 Farmasi</t>
  </si>
  <si>
    <t>Pembelian plastik sampah dan alat kebersihan</t>
  </si>
  <si>
    <t>Pembelian penghilang hama rumput</t>
  </si>
  <si>
    <t>Pembelian sendok tembok</t>
  </si>
  <si>
    <t>Pembelian sarung tangan dan tissue</t>
  </si>
  <si>
    <t>Lumpsum ketua prodi ke ITB dalam rangka permohonan kesediaan mengajar di prodi S2 Farmasi</t>
  </si>
  <si>
    <t>Transport ketua prodi ke ITB dalam rangka permohonan kesediaan mengajar di prodi S2 Farmasi</t>
  </si>
  <si>
    <t>Pembayaran Telepon</t>
  </si>
  <si>
    <t>Lumpsum ketua prodi S2 farmasi ke jakarta untuk kegiatan treaser study</t>
  </si>
  <si>
    <t>Lumpsum sopir mengantar ketua prodi S2 farmasi dan ketua pusat karir ke jakarta untuk kegiatan treaser study</t>
  </si>
  <si>
    <t>Isi angin dan tambal ban motor</t>
  </si>
  <si>
    <t>B.UBTH.VIII.03</t>
  </si>
  <si>
    <t>Pembelian bensin motor revo</t>
  </si>
  <si>
    <t>Lumpsum rektor dalam rangka menghadiri penutupan pusdiklatsar menwa universitas BTH</t>
  </si>
  <si>
    <t>Representasi rektor dalam rangka menghadiri penutupan pusdiklatsar menwa universitas BTH</t>
  </si>
  <si>
    <t>Lumpsum dosen dalam rangka menghadiri penutupan pusdiklatsar menwa universitas BTH</t>
  </si>
  <si>
    <t>Pembelian air minum botol</t>
  </si>
  <si>
    <t>Konsumsi KTI FTB Prodi Bisdi</t>
  </si>
  <si>
    <t>Konsumsi upload borang akreditasi prodi keperawatan dan PSPPN</t>
  </si>
  <si>
    <t>Konsumsi pendampingan akreditasi prodi keperawatan dan PSPPN</t>
  </si>
  <si>
    <t>Konsumsi borang akreditasi prodi keperawatan dan ners</t>
  </si>
  <si>
    <t>Konsumsi rapat BAA fakultas dan universitas</t>
  </si>
  <si>
    <t>Konsumsi kuliah pakar apoteker</t>
  </si>
  <si>
    <t>Konsumsi pembinaan dosen farmasi</t>
  </si>
  <si>
    <t>Bensin dalam rangka menghadiri penutupan pusdiklatsar menwa universitas BTH</t>
  </si>
  <si>
    <t>Lumpsum sopir dalam rangka menghadiri penutupan pusdiklatsar menwa universitas BTH</t>
  </si>
  <si>
    <t>parkir dalam rangka menghadiri penutupan pusdiklatsar menwa universitas BTH</t>
  </si>
  <si>
    <t>Pembayaran banner dan ID Card Pegawai</t>
  </si>
  <si>
    <t>096/INT.UNIVERSITAS BTH/II/2026</t>
  </si>
  <si>
    <t>Honor Panitia Akreditasi Farmasi (SPPU)</t>
  </si>
  <si>
    <t>097/INT.UNIVERSITAS BTH/II/2026</t>
  </si>
  <si>
    <t>Pembelian ATK dari Koperasi</t>
  </si>
  <si>
    <t>098/INT.UNIVERSITAS BTH/II/2026</t>
  </si>
  <si>
    <t>Pembelian alat cuci kebersihan dari koperasi</t>
  </si>
  <si>
    <t>099/INT.UNIVERSITAS BTH/II/2026</t>
  </si>
  <si>
    <t>Pengadaan Alat dan Bahan Praktikum Laboratorium</t>
  </si>
  <si>
    <t>100/INT.UNIVERSITAS BTH/II/2026</t>
  </si>
  <si>
    <t>SPPU Penghapusan tunggakan mahasiswa per 31 Desember 2025 (Salwa Patha Aulia)</t>
  </si>
  <si>
    <t>SPS.VI.05</t>
  </si>
  <si>
    <t>101/INT.UNIVERSITAS BTH/II/2026</t>
  </si>
  <si>
    <t>SPPU Pengembalian biaya registrasi MABA PSPPA an M Jafar</t>
  </si>
  <si>
    <t>SPS.VI.06</t>
  </si>
  <si>
    <t>102/INT.UNIVERSITAS BTH/II/2026</t>
  </si>
  <si>
    <t>PKPA PSPPA PT Pharma Laboratories (Angkatan 13)</t>
  </si>
  <si>
    <t>103/INT.UNIVERSITAS BTH/II/2026</t>
  </si>
  <si>
    <t>Praktik Profesi Ners I Angkatan 2025/2026</t>
  </si>
  <si>
    <t>B.UBTH.XIV.61</t>
  </si>
  <si>
    <t>104/INT.UNIVERSITAS BTH/II/2026</t>
  </si>
  <si>
    <t>Pelunasan penyusunan borang akreditasi (fak farmasi 5.000.000 dan s1 kep/ners 7.500.000) an Pak Asep Supyan</t>
  </si>
  <si>
    <t>105/INT.UNIVERSITAS BTH/II/2026</t>
  </si>
  <si>
    <t>PKMD FIKES 2026</t>
  </si>
  <si>
    <t>B.UBTH.XIV.69</t>
  </si>
  <si>
    <t>106/INT.UNIVERSITAS BTH/II/2026</t>
  </si>
  <si>
    <t>Pembelian ATK UBTH</t>
  </si>
  <si>
    <t>107/INT.UNIVERSITAS BTH/II/2026</t>
  </si>
  <si>
    <t>Pembayaran Gaji dan THR Tenaga Alih Daya (PT BTH)</t>
  </si>
  <si>
    <t>B.UBTH.I.01</t>
  </si>
  <si>
    <t>108/INT.UNIVERSITAS BTH/II/2026</t>
  </si>
  <si>
    <t>Biaya Perjalanan Dinas Fakultas FTB</t>
  </si>
  <si>
    <t>109/INT.UNIVERSITAS BTH/II/2026</t>
  </si>
  <si>
    <t>Kegiatan Kerja Praktik Prodi Teknologi Pangan</t>
  </si>
  <si>
    <t>B.UBTH.XV.07</t>
  </si>
  <si>
    <t>110/INT.UNIVERSITAS BTH/II/2026</t>
  </si>
  <si>
    <t>Pembayaran Fotocopy UBTH</t>
  </si>
  <si>
    <t>111/INT.UNIVERSITAS BTH/II/2026</t>
  </si>
  <si>
    <t>Insentif Mahasiswa Berprestasi Juara 2 Lomba Patient Conseling Competition</t>
  </si>
  <si>
    <t>112/INT.UNIVERSITAS BTH/II/2026</t>
  </si>
  <si>
    <t>Insentif Mahasiswa Berprestasi Juara 3 Lomba Poster Nasional</t>
  </si>
  <si>
    <t>113/INT.UNIVERSITAS BTH/II/2026</t>
  </si>
  <si>
    <t>Pembayaran konten kreator kemahasiswaan an nenden</t>
  </si>
  <si>
    <t>114/INT.UNIVERSITAS BTH/II/2026</t>
  </si>
  <si>
    <t>Sewa Kost Mahasiswa Asing an Anas</t>
  </si>
  <si>
    <t>115/INT.UNIVERSITAS BTH/II/2026</t>
  </si>
  <si>
    <t>PKKMB S2 Farmasi</t>
  </si>
  <si>
    <t>116/INT.UNIVERSITAS BTH/II/2026</t>
  </si>
  <si>
    <t>Bongkar pasang dan penarikan instalasi listrik gedung rektorat 17 titik</t>
  </si>
  <si>
    <t>B.UBTH.VIII.01</t>
  </si>
  <si>
    <t>117/INT.UNIVERSITAS BTH/II/2026</t>
  </si>
  <si>
    <t>Meja stainless lab tekpang</t>
  </si>
  <si>
    <t>118/INT.UNIVERSITAS BTH/II/2026</t>
  </si>
  <si>
    <t>119/INT.UNIVERSITAS BTH/II/2026</t>
  </si>
  <si>
    <t>PKLM Januari 2026</t>
  </si>
  <si>
    <t>120/INT.UNIVERSITAS BTH/II/2026</t>
  </si>
  <si>
    <t>Pembayaran ongkos kirim gift souvenir promar</t>
  </si>
  <si>
    <t xml:space="preserve">Lumpsum dosen dalam rangka presentasi dan penarikan PKL ARS </t>
  </si>
  <si>
    <t>Pembayaran honor lembur staf SDM dalam perhitungan rekapitulasi dan simulasi kenaikan gaji</t>
  </si>
  <si>
    <t>Lumpsum dosen dalam rangka supervisi mahasiswa di Bunda Aisyah, Puskesmas Cisayong, dan Puskesmas Cikatomas</t>
  </si>
  <si>
    <t>Lumpsum dosen dalam rangka supervisi mahasiswa di RS Jasa Kartini dan RS Banjar Patroman</t>
  </si>
  <si>
    <t>Pembayaran jilid laporan - soft cover</t>
  </si>
  <si>
    <t>Pembayaran invoice sampah</t>
  </si>
  <si>
    <t>Pembayaran admin bank transfer - fotocopy Fcom</t>
  </si>
  <si>
    <t>Konsumsi rapat koordinasi kemahasiswaan</t>
  </si>
  <si>
    <t>Parkir di BSI</t>
  </si>
  <si>
    <t>Bensin dalam rangka mengantar ketua prodi S2 farmasi dan ketua pusat karir ke jakarta untuk kegiatan treaser study</t>
  </si>
  <si>
    <t>Tol dan parkir dalam rangka mengantar ketua prodi S2 farmasi dan ketua pusat karir ke jakarta untuk kegiatan treaser study</t>
  </si>
  <si>
    <t>Biaya admin pembayaran beasiswa anak pegawai</t>
  </si>
  <si>
    <t>Lumpsum sopir dalam rangka mengantar dosen supervisi mahasiswa di Bunda Aisyah, Puskesmas Cisayong, dan Puskesmas Cikatomas</t>
  </si>
  <si>
    <t>Lumpsum sopir dalam rangka mengantar dosen supervisi mahasiswa di RS Jasa Kartini dan RS Banjar Patroman</t>
  </si>
  <si>
    <t>Kekurangan Pembayaran invoice sampah</t>
  </si>
  <si>
    <t>Lumpsum ketua prodi PSPPA dalam rangka rapat UKPDAI di Jakarta</t>
  </si>
  <si>
    <t>Transport PP ketua prodi PSPPA dalam rangka rapat UKPDAI di Jakarta</t>
  </si>
  <si>
    <t>Biaya Penginapan ketua prodi PSPPA dalam rangka rapat UKPDAI di Jakarta</t>
  </si>
  <si>
    <t>Pembelian air minum untuk kegiatan sidang komprehensip farmasi</t>
  </si>
  <si>
    <t>Ongkir pembelian makanan dalam kegiatan sidang komprehenship farmasi</t>
  </si>
  <si>
    <t>Konsumsi dalam kegiatan sidang komprehenship farmasi</t>
  </si>
  <si>
    <t>Biaya admin bank transfer pengembalian uang registrasi maba an Jafar</t>
  </si>
  <si>
    <t>B.UBTH.IV.07</t>
  </si>
  <si>
    <t>Biaya admin bank transfer praktikum PSPPN</t>
  </si>
  <si>
    <t>Biaya admin bank pembayaran pelunasan tagihan an salwa patiha aulia</t>
  </si>
  <si>
    <t>Cuci taplak meja</t>
  </si>
  <si>
    <t>Pengganti transport hari libur pengankutan pot dan penanaman pohon - pa nana</t>
  </si>
  <si>
    <t>Pembelian snack untuk toples makanan pengunjung perpus berkaitan dengan promosi perpustakaan</t>
  </si>
  <si>
    <t>Pembelian toples makanan pengunjung perpus berkaitan dengan promosi perpustakaan</t>
  </si>
  <si>
    <t>Transport Pembelian snack untuk toples makanan pengunjung perpus berkaitan dengan promosi perpustakaan</t>
  </si>
  <si>
    <t>Pembelian alat kelistrikan</t>
  </si>
  <si>
    <t>B.UBTH.VII.02</t>
  </si>
  <si>
    <t>Pembelian mesin jigsaw gergaji potong kayu</t>
  </si>
  <si>
    <t>Pembelian foto presiden</t>
  </si>
  <si>
    <t>Pembelian tambang</t>
  </si>
  <si>
    <t>Bensin harian mobil innova Z 883 XX</t>
  </si>
  <si>
    <t>Bensin harian mobil innova Z 1848 IB</t>
  </si>
  <si>
    <t>Bensin harian mobil Zenix Z 1842 MO</t>
  </si>
  <si>
    <t>Pengganti transport hari libur pengankutan pot dan penanaman pohon - rohayati</t>
  </si>
  <si>
    <t>Pengganti konsumsi satpam (8 orang x 100.000)</t>
  </si>
  <si>
    <t>Insentif tenaga diperbantukan keuangan - Pak Enceng</t>
  </si>
  <si>
    <t>121/INT.UNIVERSITAS BTH/II/2026</t>
  </si>
  <si>
    <t>Insentif sosisalisasi dan pembuatan bukti pemotongan pph 21 tahunan pegawai era coretax</t>
  </si>
  <si>
    <t>B.UBTH.I.11</t>
  </si>
  <si>
    <t>122/INT.UNIVERSITAS BTH/II/2026</t>
  </si>
  <si>
    <t>Honor Pewawancara dan teknis SPMB Jalur Mandiri PSPPA 2026 Angkatan 14</t>
  </si>
  <si>
    <t>123/INT.UNIVERSITAS BTH/II/2026</t>
  </si>
  <si>
    <t>Honor Pewawancara dan teknis SPMB Jalur Reguler PSPPA 2026 Angkatan 14</t>
  </si>
  <si>
    <t>124/INT.UNIVERSITAS BTH/II/2026</t>
  </si>
  <si>
    <t>Honor Ujian Blok CBT dan OSCE PSPPA Angkatan XIII</t>
  </si>
  <si>
    <t>B.UBTH.XIII.17</t>
  </si>
  <si>
    <t>125/INT.UNIVERSITAS BTH/II/2026</t>
  </si>
  <si>
    <t>Honor Teknis Ujian Blok CBT dan OSCE PSPPA Angkatan XIII</t>
  </si>
  <si>
    <t>126/INT.UNIVERSITAS BTH/II/2026</t>
  </si>
  <si>
    <t>Pembayaran uang makan dan pengganti transport pegawai magang februari 2026</t>
  </si>
  <si>
    <t>127/INT.UNIVERSITAS BTH/II/2026</t>
  </si>
  <si>
    <t>Gaji Pokok Pegawai</t>
  </si>
  <si>
    <t>Tunjangan Senat</t>
  </si>
  <si>
    <t>B.UBTH.I.04</t>
  </si>
  <si>
    <t>Tunjangan Struktural</t>
  </si>
  <si>
    <t>B.UBTH.I.06</t>
  </si>
  <si>
    <t>Tunjangan Fungsional</t>
  </si>
  <si>
    <t>B.UBTH.I.07</t>
  </si>
  <si>
    <t>Tunjangan Peralihan</t>
  </si>
  <si>
    <t>Tunjangan Dosen Wali Keperawatan</t>
  </si>
  <si>
    <t>B.UBTH.XIV.15</t>
  </si>
  <si>
    <t>Tunjangan Dosen Wali Analis</t>
  </si>
  <si>
    <t>B.UBTH.XIV.33</t>
  </si>
  <si>
    <t>Tunjangan Dosen Wali RO</t>
  </si>
  <si>
    <t>B.UBTH.XIV.05</t>
  </si>
  <si>
    <t>Tunjangan Dosen Wali Administrasi Rumah Sakit</t>
  </si>
  <si>
    <t>B.UBTH.XIV.48</t>
  </si>
  <si>
    <t>Tunjangan Dosen Wali S1 Keperawatan</t>
  </si>
  <si>
    <t>B.UBTH.XIV.55</t>
  </si>
  <si>
    <t>Tunjangan Dosen Wali PSPPN</t>
  </si>
  <si>
    <t>B.UBTH.XIV.58</t>
  </si>
  <si>
    <t>Tunjangan Dosen Wali Farmasi</t>
  </si>
  <si>
    <t>B.UBTH.XIII.05</t>
  </si>
  <si>
    <t>Tunjangan Dosen Wali Farmasi RPL</t>
  </si>
  <si>
    <t>Tunjangan Dosen Wali Apoteker</t>
  </si>
  <si>
    <t>B.UBTH.XIII.16</t>
  </si>
  <si>
    <t>Tujangan Dosen Wali Bisnis Digital</t>
  </si>
  <si>
    <t>B.UBTH.XV.10</t>
  </si>
  <si>
    <t>Tujangan Dosen Wali Bisnis Sistem Informasi</t>
  </si>
  <si>
    <t>B.UBTH.XV.18</t>
  </si>
  <si>
    <t>Tujangan Dosen Wali Kewirausahaan</t>
  </si>
  <si>
    <t>B.UBTH.XV.14</t>
  </si>
  <si>
    <t>Tujangan Dosen Wali Teknologi Pangan</t>
  </si>
  <si>
    <t>B.UBTH.XV.05</t>
  </si>
  <si>
    <t>Transport Dosen RPL Farmasi (Pengganti Quota)</t>
  </si>
  <si>
    <t>B.UBTH.XIII.03</t>
  </si>
  <si>
    <t>Honor Dosen Keperawatan</t>
  </si>
  <si>
    <t>B.UBTH.XIV.11</t>
  </si>
  <si>
    <t>Honor Dosen S1 Keperawatan</t>
  </si>
  <si>
    <t>B.UBTH.XIV.52</t>
  </si>
  <si>
    <t>Honor Dosen Analis</t>
  </si>
  <si>
    <t>B.UBTH.XIV.29</t>
  </si>
  <si>
    <t>Honor Dosen RO</t>
  </si>
  <si>
    <t>B.UBTH.XIV.01</t>
  </si>
  <si>
    <t>Honor Dosen Administrasi Rumah Sakit</t>
  </si>
  <si>
    <t>B.UBTH.XIV.45</t>
  </si>
  <si>
    <t>Honor Dosen Apoteker</t>
  </si>
  <si>
    <t>B.UBTH.XIII.13</t>
  </si>
  <si>
    <t>Honor Dosen Farmasi RPL</t>
  </si>
  <si>
    <t>B.UBTH.XIII.01</t>
  </si>
  <si>
    <t>Honor Dosen Farmasi</t>
  </si>
  <si>
    <t>Honor Dosen Teknologi Pangan</t>
  </si>
  <si>
    <t>B.UBTH.XV.01</t>
  </si>
  <si>
    <t>Honor Dosen Bisnis Digital</t>
  </si>
  <si>
    <t>B.UBTH.XV.08</t>
  </si>
  <si>
    <t>Honor Dosen Sistem Informasi</t>
  </si>
  <si>
    <t>B.UBTH.XV.17</t>
  </si>
  <si>
    <t>Honor Dosen Kewirausahaan</t>
  </si>
  <si>
    <t>B.UBTH.XV.12</t>
  </si>
  <si>
    <t>Honor Asisten Dosen Apoteker</t>
  </si>
  <si>
    <t>B.UBTH.XIII.14</t>
  </si>
  <si>
    <t>Transport Asisten Dosen Apoteker</t>
  </si>
  <si>
    <t>128/INT.UNIVERSITAS BTH/II/2026</t>
  </si>
  <si>
    <t>Uang Makan Pegawai UBTH Februari 2026</t>
  </si>
  <si>
    <t>129/INT.UNIVERSITAS BTH/II/2026</t>
  </si>
  <si>
    <t>Cetak Pemasangan Banner promosi marketing dan SPMB</t>
  </si>
  <si>
    <t>130/INT.UNIVERSITAS BTH/II/2026</t>
  </si>
  <si>
    <t>Honor Panitia PKKMB S2 Farmasi</t>
  </si>
  <si>
    <t>Saldo Akhir Per 28 Februari 2026</t>
  </si>
  <si>
    <t>06.1.02.07.19</t>
  </si>
  <si>
    <t>Praktek Klinik Profesi Apoteker PSPPA - TP</t>
  </si>
  <si>
    <t>01.2.01.03.01</t>
  </si>
  <si>
    <t>Kendaraan</t>
  </si>
  <si>
    <t>06.1.01.02.15</t>
  </si>
  <si>
    <t>Biaya beasiswa anak pegawai - TP</t>
  </si>
  <si>
    <t>06.1.02.05.11</t>
  </si>
  <si>
    <t>Reakreditasi Universitas dan Prodi</t>
  </si>
  <si>
    <t>04.1.01.01.01</t>
  </si>
  <si>
    <t>Pendapatan dari Mahasiswa- Semua Prodi - TP</t>
  </si>
  <si>
    <t>06.1.02.08.42</t>
  </si>
  <si>
    <t>PKMD Program Studi Analis Kesehatan - TP</t>
  </si>
  <si>
    <t>06.1.02.07.32</t>
  </si>
  <si>
    <t>Student Exchange AASP</t>
  </si>
  <si>
    <t>01.1.01.02.06</t>
  </si>
  <si>
    <t>Giro BSI 1032802415 (UBTH)</t>
  </si>
  <si>
    <t>KODE ANGGARAN</t>
  </si>
  <si>
    <t>JUMLAH</t>
  </si>
  <si>
    <t>KODE ACCURATE</t>
  </si>
  <si>
    <t>NAMA KODE</t>
  </si>
  <si>
    <t>KAS BANK</t>
  </si>
  <si>
    <t>NAMA KAS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</si>
</sst>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(* #,##0_);_(* \(#,##0\);_(* &quot;-&quot;_);_(@_)"/>
    <numFmt numFmtId="167" formatCode="_-* #,##0_-;\-* #,##0_-;_-* &quot;-&quot;??_-;_-@_-"/>
    <numFmt numFmtId="168" formatCode="_(* #,##0.00_);_(* \(#,##0.00\);_(* &quot;-&quot;_);_(@_)"/>
  </numFmts>
  <fonts count="6">
    <font>
      <sz val="10"/>
      <name val="Arial"/>
      <charset val="134"/>
    </font>
    <font>
      <b/>
      <sz val="11"/>
      <name val="Georgia"/>
      <family val="1"/>
    </font>
    <font>
      <sz val="10"/>
      <name val="Arial"/>
      <family val="2"/>
    </font>
    <font>
      <sz val="11"/>
      <name val="Georgia"/>
      <family val="1"/>
    </font>
    <font>
      <b/>
      <sz val="11"/>
      <color theme="1"/>
      <name val="Georgia"/>
      <family val="1"/>
    </font>
    <font>
      <sz val="11"/>
      <color rgb="FF00B0F0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6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43" fontId="3" fillId="0" borderId="0" xfId="1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43" fontId="3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164" fontId="1" fillId="0" borderId="0" xfId="1" applyFont="1" applyFill="1" applyBorder="1" applyAlignment="1">
      <alignment vertical="center"/>
    </xf>
    <xf numFmtId="165" fontId="1" fillId="0" borderId="0" xfId="1" applyNumberFormat="1" applyFont="1" applyFill="1" applyBorder="1" applyAlignment="1">
      <alignment vertical="center"/>
    </xf>
    <xf numFmtId="0" fontId="1" fillId="0" borderId="0" xfId="1" applyNumberFormat="1" applyFont="1" applyFill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4" fontId="1" fillId="0" borderId="1" xfId="1" applyFont="1" applyFill="1" applyBorder="1" applyAlignment="1">
      <alignment vertical="center"/>
    </xf>
    <xf numFmtId="165" fontId="1" fillId="0" borderId="1" xfId="1" applyNumberFormat="1" applyFont="1" applyFill="1" applyBorder="1" applyAlignment="1">
      <alignment horizontal="center" vertical="center"/>
    </xf>
    <xf numFmtId="0" fontId="1" fillId="0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3" fillId="0" borderId="1" xfId="3" applyFont="1" applyBorder="1" applyAlignment="1">
      <alignment vertical="center"/>
    </xf>
    <xf numFmtId="165" fontId="5" fillId="0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3" fillId="0" borderId="0" xfId="1" applyFont="1" applyFill="1" applyBorder="1" applyAlignment="1">
      <alignment horizontal="center" vertical="center"/>
    </xf>
    <xf numFmtId="165" fontId="5" fillId="0" borderId="1" xfId="2" applyNumberFormat="1" applyFont="1" applyFill="1" applyBorder="1" applyAlignment="1">
      <alignment horizontal="center" vertical="center"/>
    </xf>
    <xf numFmtId="0" fontId="3" fillId="0" borderId="1" xfId="2" applyNumberFormat="1" applyFont="1" applyFill="1" applyBorder="1" applyAlignment="1">
      <alignment vertical="center"/>
    </xf>
    <xf numFmtId="0" fontId="3" fillId="0" borderId="1" xfId="1" applyNumberFormat="1" applyFont="1" applyFill="1" applyBorder="1" applyAlignment="1">
      <alignment vertical="center"/>
    </xf>
    <xf numFmtId="165" fontId="5" fillId="0" borderId="1" xfId="1" applyNumberFormat="1" applyFont="1" applyFill="1" applyBorder="1" applyAlignment="1">
      <alignment vertical="center"/>
    </xf>
    <xf numFmtId="0" fontId="3" fillId="0" borderId="1" xfId="4" applyFont="1" applyBorder="1" applyAlignment="1">
      <alignment vertical="center"/>
    </xf>
    <xf numFmtId="0" fontId="3" fillId="0" borderId="1" xfId="3" applyFont="1" applyBorder="1" applyAlignment="1">
      <alignment vertical="center" wrapText="1"/>
    </xf>
    <xf numFmtId="0" fontId="3" fillId="0" borderId="1" xfId="5" applyFont="1" applyBorder="1" applyAlignment="1">
      <alignment vertical="center" wrapText="1"/>
    </xf>
    <xf numFmtId="0" fontId="3" fillId="0" borderId="1" xfId="5" applyFont="1" applyBorder="1" applyAlignment="1">
      <alignment vertical="center"/>
    </xf>
    <xf numFmtId="165" fontId="3" fillId="0" borderId="1" xfId="1" applyNumberFormat="1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43" fontId="3" fillId="0" borderId="1" xfId="2" applyNumberFormat="1" applyFont="1" applyFill="1" applyBorder="1" applyAlignment="1">
      <alignment horizontal="left" vertical="center"/>
    </xf>
    <xf numFmtId="165" fontId="5" fillId="0" borderId="1" xfId="1" applyNumberFormat="1" applyFont="1" applyFill="1" applyBorder="1" applyAlignment="1">
      <alignment horizontal="left" vertical="center"/>
    </xf>
    <xf numFmtId="165" fontId="5" fillId="0" borderId="1" xfId="2" applyNumberFormat="1" applyFont="1" applyFill="1" applyBorder="1" applyAlignment="1">
      <alignment horizontal="left" vertical="center"/>
    </xf>
    <xf numFmtId="167" fontId="5" fillId="0" borderId="1" xfId="2" applyNumberFormat="1" applyFont="1" applyFill="1" applyBorder="1" applyAlignment="1">
      <alignment horizontal="left" vertical="center"/>
    </xf>
    <xf numFmtId="165" fontId="5" fillId="0" borderId="1" xfId="1" applyNumberFormat="1" applyFont="1" applyFill="1" applyBorder="1"/>
    <xf numFmtId="165" fontId="5" fillId="0" borderId="1" xfId="1" applyNumberFormat="1" applyFont="1" applyFill="1" applyBorder="1" applyAlignment="1">
      <alignment horizontal="left"/>
    </xf>
    <xf numFmtId="167" fontId="3" fillId="0" borderId="1" xfId="2" applyNumberFormat="1" applyFont="1" applyFill="1" applyBorder="1" applyAlignment="1">
      <alignment horizontal="left" vertical="center"/>
    </xf>
    <xf numFmtId="165" fontId="3" fillId="0" borderId="1" xfId="1" applyNumberFormat="1" applyFont="1" applyFill="1" applyBorder="1" applyAlignment="1">
      <alignment horizontal="left"/>
    </xf>
    <xf numFmtId="165" fontId="3" fillId="0" borderId="1" xfId="2" applyNumberFormat="1" applyFont="1" applyFill="1" applyBorder="1" applyAlignment="1">
      <alignment horizontal="left" vertical="center"/>
    </xf>
    <xf numFmtId="165" fontId="3" fillId="0" borderId="1" xfId="1" applyNumberFormat="1" applyFont="1" applyFill="1" applyBorder="1" applyAlignment="1">
      <alignment horizontal="left" vertical="center"/>
    </xf>
    <xf numFmtId="168" fontId="3" fillId="0" borderId="1" xfId="2" applyNumberFormat="1" applyFont="1" applyFill="1" applyBorder="1" applyAlignment="1">
      <alignment horizontal="left"/>
    </xf>
    <xf numFmtId="165" fontId="1" fillId="2" borderId="4" xfId="1" applyNumberFormat="1" applyFont="1" applyFill="1" applyBorder="1" applyAlignment="1">
      <alignment horizontal="center" vertical="center"/>
    </xf>
    <xf numFmtId="0" fontId="1" fillId="2" borderId="4" xfId="4" applyFont="1" applyFill="1" applyBorder="1" applyAlignment="1">
      <alignment vertical="center"/>
    </xf>
    <xf numFmtId="166" fontId="3" fillId="0" borderId="0" xfId="0" applyNumberFormat="1" applyFont="1" applyAlignment="1">
      <alignment vertical="center"/>
    </xf>
    <xf numFmtId="14" fontId="3" fillId="0" borderId="0" xfId="0" applyNumberFormat="1" applyFont="1" applyAlignment="1">
      <alignment vertical="center"/>
    </xf>
    <xf numFmtId="164" fontId="3" fillId="0" borderId="0" xfId="1" applyFont="1" applyFill="1" applyAlignment="1">
      <alignment vertical="center"/>
    </xf>
    <xf numFmtId="165" fontId="3" fillId="0" borderId="0" xfId="1" applyNumberFormat="1" applyFont="1" applyFill="1" applyAlignment="1">
      <alignment vertical="center"/>
    </xf>
    <xf numFmtId="0" fontId="3" fillId="0" borderId="0" xfId="1" applyNumberFormat="1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3" xfId="5" applyFont="1" applyFill="1" applyBorder="1" applyAlignment="1">
      <alignment horizontal="center" vertical="center"/>
    </xf>
    <xf numFmtId="0" fontId="1" fillId="2" borderId="2" xfId="5" applyFont="1" applyFill="1" applyBorder="1" applyAlignment="1">
      <alignment horizontal="center" vertical="center"/>
    </xf>
    <xf numFmtId="43" fontId="3" fillId="0" borderId="1" xfId="0" applyNumberFormat="1" applyFont="1" applyBorder="1" applyAlignment="1">
      <alignment horizontal="center" vertical="center"/>
    </xf>
    <xf numFmtId="43" fontId="3" fillId="0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43" fontId="3" fillId="0" borderId="1" xfId="0" applyNumberFormat="1" applyFont="1" applyBorder="1" applyAlignment="1">
      <alignment vertical="center"/>
    </xf>
    <xf numFmtId="43" fontId="1" fillId="0" borderId="1" xfId="0" applyNumberFormat="1" applyFont="1" applyBorder="1" applyAlignment="1">
      <alignment vertical="center"/>
    </xf>
    <xf numFmtId="164" fontId="3" fillId="0" borderId="1" xfId="1" applyFont="1" applyFill="1" applyBorder="1" applyAlignment="1">
      <alignment vertical="center"/>
    </xf>
  </cellXfs>
  <cellStyles count="6">
    <cellStyle name="Comma" xfId="1" builtinId="3"/>
    <cellStyle name="Comma [0]" xfId="2" builtinId="6"/>
    <cellStyle name="Normal" xfId="0" builtinId="0"/>
    <cellStyle name="Normal 2 7" xfId="3" xr:uid="{DA0FF72A-0BFE-465D-81E8-8F70D33D8B1C}"/>
    <cellStyle name="Normal 3" xfId="4" xr:uid="{0ACA82EA-76D1-498C-9147-FF5D738D9EAF}"/>
    <cellStyle name="Normal 4 2" xfId="5" xr:uid="{85319454-D215-4C63-AA99-9111758101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uangan-Iis\Downloads\My%20Documents\Downloads\SSP-BAD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uangan-Iis\Downloads\PERSIAPAN%20BUKU\PERSIAPAN%20BUKU-(2).xls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apping%20kode%20Universitas%20Update%2012%20Juni%202025.xlsx" TargetMode="External"/><Relationship Id="rId2" Type="http://schemas.openxmlformats.org/officeDocument/2006/relationships/externalLinkPath" Target="file:///F:\KERJAAN\INPUT%20ACCURATE\Mapping%20kode%20Universitas%20Update%2012%20Juni%202025.xlsx" TargetMode="External"/><Relationship Id="rId1" Type="http://schemas.openxmlformats.org/officeDocument/2006/relationships/externalLinkPath" Target="/KERJAAN/INPUT%20ACCURATE/Mapping%20kode%20Universitas%20Update%2012%20Juni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P (5)"/>
      <sheetName val="SPM (1195.2)"/>
      <sheetName val="SPM (1195.1)"/>
      <sheetName val="INDUK (BELI)"/>
      <sheetName val="Sheet3"/>
      <sheetName val="INDUK"/>
      <sheetName val="BIODATA"/>
      <sheetName val="HAL"/>
      <sheetName val="Sheet1 (2)"/>
      <sheetName val="Sheet1"/>
      <sheetName val="DEPAN"/>
      <sheetName val="LAMP. A3"/>
      <sheetName val="data"/>
      <sheetName val="REKAP B2, B4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>
        <row r="3">
          <cell r="P3">
            <v>0</v>
          </cell>
          <cell r="Q3" t="str">
            <v>Kliwon</v>
          </cell>
          <cell r="R3" t="str">
            <v>Sabtu</v>
          </cell>
        </row>
        <row r="4">
          <cell r="P4">
            <v>1</v>
          </cell>
          <cell r="Q4" t="str">
            <v>Legi</v>
          </cell>
          <cell r="R4" t="str">
            <v>Minggu</v>
          </cell>
        </row>
        <row r="5">
          <cell r="P5">
            <v>2</v>
          </cell>
          <cell r="Q5" t="str">
            <v>Paing</v>
          </cell>
          <cell r="R5" t="str">
            <v>Senin</v>
          </cell>
        </row>
        <row r="6">
          <cell r="P6">
            <v>3</v>
          </cell>
          <cell r="Q6" t="str">
            <v>Pon</v>
          </cell>
          <cell r="R6" t="str">
            <v>Selasa</v>
          </cell>
        </row>
        <row r="7">
          <cell r="P7">
            <v>4</v>
          </cell>
          <cell r="Q7" t="str">
            <v>Wage</v>
          </cell>
          <cell r="R7" t="str">
            <v>Rabu</v>
          </cell>
        </row>
        <row r="8">
          <cell r="P8">
            <v>5</v>
          </cell>
          <cell r="R8" t="str">
            <v>Kamis</v>
          </cell>
        </row>
        <row r="9">
          <cell r="P9">
            <v>6</v>
          </cell>
          <cell r="R9" t="str">
            <v>Jum'at</v>
          </cell>
        </row>
      </sheetData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(2)"/>
      <sheetName val="DATA"/>
      <sheetName val="JANUARI"/>
      <sheetName val="FEBRUARI"/>
      <sheetName val="MARET"/>
      <sheetName val="APRIL"/>
      <sheetName val="MEI"/>
      <sheetName val="JUNI"/>
      <sheetName val="JULI"/>
      <sheetName val="AGUSTUS"/>
      <sheetName val="SEPTEMBER"/>
      <sheetName val="OKTOBER"/>
      <sheetName val="NOPEMBER"/>
      <sheetName val="DESEMBER"/>
      <sheetName val="SPT MASA"/>
      <sheetName val="SSP (5)"/>
      <sheetName val="REKAP BULANAN"/>
      <sheetName val="EVALUASI"/>
      <sheetName val="21-A"/>
      <sheetName val="data-21-A"/>
      <sheetName val="21-A12"/>
    </sheetNames>
    <sheetDataSet>
      <sheetData sheetId="0">
        <row r="1">
          <cell r="T1">
            <v>1</v>
          </cell>
          <cell r="U1" t="str">
            <v>seribu</v>
          </cell>
        </row>
        <row r="5">
          <cell r="T5">
            <v>0</v>
          </cell>
        </row>
        <row r="6">
          <cell r="T6" t="str">
            <v>000</v>
          </cell>
          <cell r="U6" t="str">
            <v/>
          </cell>
          <cell r="V6" t="str">
            <v/>
          </cell>
        </row>
        <row r="7">
          <cell r="V7" t="str">
            <v/>
          </cell>
        </row>
        <row r="8">
          <cell r="T8">
            <v>1</v>
          </cell>
          <cell r="U8" t="str">
            <v>Satu</v>
          </cell>
          <cell r="V8" t="str">
            <v>puluh</v>
          </cell>
        </row>
        <row r="9">
          <cell r="T9">
            <v>2</v>
          </cell>
          <cell r="U9" t="str">
            <v>Dua</v>
          </cell>
          <cell r="V9" t="str">
            <v>puluh</v>
          </cell>
          <cell r="W9" t="str">
            <v>ribu</v>
          </cell>
        </row>
        <row r="10">
          <cell r="T10">
            <v>3</v>
          </cell>
          <cell r="U10" t="str">
            <v>Tiga</v>
          </cell>
          <cell r="V10" t="str">
            <v>puluh</v>
          </cell>
          <cell r="W10" t="str">
            <v>ribu</v>
          </cell>
        </row>
        <row r="11">
          <cell r="T11">
            <v>4</v>
          </cell>
          <cell r="U11" t="str">
            <v>Empat</v>
          </cell>
          <cell r="V11" t="str">
            <v>puluh</v>
          </cell>
          <cell r="W11" t="str">
            <v>ribu</v>
          </cell>
        </row>
        <row r="12">
          <cell r="T12">
            <v>5</v>
          </cell>
          <cell r="U12" t="str">
            <v>Lima</v>
          </cell>
          <cell r="V12" t="str">
            <v>puluh</v>
          </cell>
          <cell r="W12" t="str">
            <v>ribu</v>
          </cell>
        </row>
        <row r="13">
          <cell r="T13">
            <v>6</v>
          </cell>
          <cell r="U13" t="str">
            <v>Enam</v>
          </cell>
          <cell r="V13" t="str">
            <v>puluh</v>
          </cell>
          <cell r="W13" t="str">
            <v>ribu</v>
          </cell>
        </row>
        <row r="14">
          <cell r="T14">
            <v>7</v>
          </cell>
          <cell r="U14" t="str">
            <v>Tujuh</v>
          </cell>
          <cell r="V14" t="str">
            <v>puluh</v>
          </cell>
          <cell r="W14" t="str">
            <v>ribu</v>
          </cell>
        </row>
        <row r="15">
          <cell r="T15">
            <v>8</v>
          </cell>
          <cell r="U15" t="str">
            <v>Delapan</v>
          </cell>
          <cell r="V15" t="str">
            <v>puluh</v>
          </cell>
          <cell r="W15" t="str">
            <v>ribu</v>
          </cell>
        </row>
        <row r="16">
          <cell r="T16">
            <v>9</v>
          </cell>
          <cell r="U16" t="str">
            <v>Sembilan</v>
          </cell>
          <cell r="V16" t="str">
            <v>puluh</v>
          </cell>
          <cell r="W16" t="str">
            <v>ribu</v>
          </cell>
        </row>
        <row r="17">
          <cell r="T17">
            <v>10</v>
          </cell>
          <cell r="U17" t="str">
            <v>Sepuluh</v>
          </cell>
          <cell r="W17" t="str">
            <v>ribu</v>
          </cell>
        </row>
        <row r="18">
          <cell r="T18">
            <v>11</v>
          </cell>
          <cell r="U18" t="str">
            <v>Sebelas</v>
          </cell>
          <cell r="W18" t="str">
            <v>ribu</v>
          </cell>
        </row>
        <row r="19">
          <cell r="T19">
            <v>12</v>
          </cell>
          <cell r="U19" t="str">
            <v>Dua belas</v>
          </cell>
          <cell r="W19" t="str">
            <v>ribu</v>
          </cell>
        </row>
        <row r="20">
          <cell r="T20">
            <v>13</v>
          </cell>
          <cell r="U20" t="str">
            <v>Tiga belas</v>
          </cell>
          <cell r="W20" t="str">
            <v>ribu</v>
          </cell>
        </row>
        <row r="21">
          <cell r="T21">
            <v>14</v>
          </cell>
          <cell r="U21" t="str">
            <v>Empat belas</v>
          </cell>
          <cell r="W21" t="str">
            <v>ribu</v>
          </cell>
        </row>
        <row r="22">
          <cell r="T22">
            <v>15</v>
          </cell>
          <cell r="U22" t="str">
            <v>Lima belas</v>
          </cell>
          <cell r="W22" t="str">
            <v>ribu</v>
          </cell>
        </row>
        <row r="23">
          <cell r="T23">
            <v>16</v>
          </cell>
          <cell r="U23" t="str">
            <v>Enam belas</v>
          </cell>
          <cell r="W23" t="str">
            <v>ribu</v>
          </cell>
        </row>
        <row r="24">
          <cell r="T24">
            <v>17</v>
          </cell>
          <cell r="U24" t="str">
            <v>Tujuh belas</v>
          </cell>
          <cell r="W24" t="str">
            <v>ribu</v>
          </cell>
        </row>
        <row r="25">
          <cell r="T25">
            <v>18</v>
          </cell>
          <cell r="U25" t="str">
            <v>Delapan belas</v>
          </cell>
          <cell r="W25" t="str">
            <v>ribu</v>
          </cell>
        </row>
        <row r="26">
          <cell r="T26">
            <v>19</v>
          </cell>
          <cell r="U26" t="str">
            <v>Sembilan belas</v>
          </cell>
          <cell r="W26" t="str">
            <v>ribu</v>
          </cell>
        </row>
        <row r="27">
          <cell r="T27">
            <v>20</v>
          </cell>
          <cell r="U27" t="str">
            <v xml:space="preserve">Dua puluh </v>
          </cell>
          <cell r="V27" t="str">
            <v>nm</v>
          </cell>
          <cell r="W27" t="str">
            <v>ribu</v>
          </cell>
        </row>
        <row r="28">
          <cell r="T28">
            <v>21</v>
          </cell>
          <cell r="U28" t="str">
            <v>Dua puluh Satu</v>
          </cell>
          <cell r="V28" t="str">
            <v>nm</v>
          </cell>
          <cell r="W28" t="str">
            <v>ribu</v>
          </cell>
        </row>
        <row r="29">
          <cell r="T29">
            <v>22</v>
          </cell>
          <cell r="U29" t="str">
            <v>Dua puluh Dua</v>
          </cell>
          <cell r="V29" t="str">
            <v>nm</v>
          </cell>
          <cell r="W29" t="str">
            <v>ribu</v>
          </cell>
        </row>
        <row r="30">
          <cell r="T30">
            <v>23</v>
          </cell>
          <cell r="U30" t="str">
            <v>Dua puluh Tiga</v>
          </cell>
          <cell r="V30" t="str">
            <v>nm</v>
          </cell>
          <cell r="W30" t="str">
            <v>ribu</v>
          </cell>
        </row>
        <row r="31">
          <cell r="T31">
            <v>24</v>
          </cell>
          <cell r="U31" t="str">
            <v>Dua puluh Empat</v>
          </cell>
          <cell r="V31" t="str">
            <v>nm</v>
          </cell>
          <cell r="W31" t="str">
            <v>ribu</v>
          </cell>
        </row>
        <row r="32">
          <cell r="T32">
            <v>25</v>
          </cell>
          <cell r="U32" t="str">
            <v>Dua puluh Lima</v>
          </cell>
          <cell r="V32" t="str">
            <v>nm</v>
          </cell>
          <cell r="W32" t="str">
            <v>ribu</v>
          </cell>
        </row>
        <row r="33">
          <cell r="T33">
            <v>26</v>
          </cell>
          <cell r="U33" t="str">
            <v>Dua puluh Enam</v>
          </cell>
          <cell r="V33" t="str">
            <v>nm</v>
          </cell>
          <cell r="W33" t="str">
            <v>ribu</v>
          </cell>
        </row>
        <row r="34">
          <cell r="T34">
            <v>27</v>
          </cell>
          <cell r="U34" t="str">
            <v>Dua puluh Tujuh</v>
          </cell>
          <cell r="V34" t="str">
            <v>nm</v>
          </cell>
          <cell r="W34" t="str">
            <v>ribu</v>
          </cell>
        </row>
        <row r="35">
          <cell r="T35">
            <v>28</v>
          </cell>
          <cell r="U35" t="str">
            <v>Dua puluh Delapan</v>
          </cell>
          <cell r="V35" t="str">
            <v>nm</v>
          </cell>
          <cell r="W35" t="str">
            <v>ribu</v>
          </cell>
        </row>
        <row r="36">
          <cell r="T36">
            <v>29</v>
          </cell>
          <cell r="U36" t="str">
            <v>Dua puluh Sembilan</v>
          </cell>
          <cell r="V36" t="str">
            <v>nm</v>
          </cell>
          <cell r="W36" t="str">
            <v>ribu</v>
          </cell>
        </row>
        <row r="37">
          <cell r="T37">
            <v>30</v>
          </cell>
          <cell r="U37" t="str">
            <v xml:space="preserve">Tiga puluh </v>
          </cell>
          <cell r="V37" t="str">
            <v>nm</v>
          </cell>
          <cell r="W37" t="str">
            <v>ribu</v>
          </cell>
        </row>
        <row r="38">
          <cell r="T38">
            <v>31</v>
          </cell>
          <cell r="U38" t="str">
            <v>Tiga puluh Satu</v>
          </cell>
          <cell r="V38" t="str">
            <v>nm</v>
          </cell>
          <cell r="W38" t="str">
            <v>ribu</v>
          </cell>
        </row>
        <row r="39">
          <cell r="T39">
            <v>32</v>
          </cell>
          <cell r="U39" t="str">
            <v>Tiga puluh Dua</v>
          </cell>
          <cell r="V39" t="str">
            <v>nm</v>
          </cell>
          <cell r="W39" t="str">
            <v>ribu</v>
          </cell>
        </row>
        <row r="40">
          <cell r="T40">
            <v>33</v>
          </cell>
          <cell r="U40" t="str">
            <v>Tiga puluh Tiga</v>
          </cell>
          <cell r="V40" t="str">
            <v>nm</v>
          </cell>
          <cell r="W40" t="str">
            <v>ribu</v>
          </cell>
        </row>
        <row r="41">
          <cell r="T41">
            <v>34</v>
          </cell>
          <cell r="U41" t="str">
            <v>Tiga puluh Empat</v>
          </cell>
          <cell r="V41" t="str">
            <v>nm</v>
          </cell>
          <cell r="W41" t="str">
            <v>ribu</v>
          </cell>
        </row>
        <row r="42">
          <cell r="T42">
            <v>35</v>
          </cell>
          <cell r="U42" t="str">
            <v>Tiga puluh Lima</v>
          </cell>
          <cell r="V42" t="str">
            <v>nm</v>
          </cell>
          <cell r="W42" t="str">
            <v>ribu</v>
          </cell>
        </row>
        <row r="43">
          <cell r="T43">
            <v>36</v>
          </cell>
          <cell r="U43" t="str">
            <v>Tiga puluh Enam</v>
          </cell>
          <cell r="V43" t="str">
            <v>nm</v>
          </cell>
          <cell r="W43" t="str">
            <v>ribu</v>
          </cell>
        </row>
        <row r="44">
          <cell r="T44">
            <v>37</v>
          </cell>
          <cell r="U44" t="str">
            <v>Tiga puluh Tujuh</v>
          </cell>
          <cell r="V44" t="str">
            <v>nm</v>
          </cell>
          <cell r="W44" t="str">
            <v>ribu</v>
          </cell>
        </row>
        <row r="45">
          <cell r="T45">
            <v>38</v>
          </cell>
          <cell r="U45" t="str">
            <v>Tiga puluh Delapan</v>
          </cell>
          <cell r="V45" t="str">
            <v>nm</v>
          </cell>
          <cell r="W45" t="str">
            <v>ribu</v>
          </cell>
        </row>
        <row r="46">
          <cell r="T46">
            <v>39</v>
          </cell>
          <cell r="U46" t="str">
            <v>Tiga puluh Sembilan</v>
          </cell>
          <cell r="V46" t="str">
            <v>nm</v>
          </cell>
          <cell r="W46" t="str">
            <v>ribu</v>
          </cell>
        </row>
        <row r="47">
          <cell r="T47">
            <v>40</v>
          </cell>
          <cell r="U47" t="str">
            <v xml:space="preserve">Empat puluh </v>
          </cell>
          <cell r="V47" t="str">
            <v>nm</v>
          </cell>
          <cell r="W47" t="str">
            <v>ribu</v>
          </cell>
        </row>
        <row r="48">
          <cell r="T48">
            <v>41</v>
          </cell>
          <cell r="U48" t="str">
            <v>Empat puluh Satu</v>
          </cell>
          <cell r="V48" t="str">
            <v>nm</v>
          </cell>
          <cell r="W48" t="str">
            <v>ribu</v>
          </cell>
        </row>
        <row r="49">
          <cell r="T49">
            <v>42</v>
          </cell>
          <cell r="U49" t="str">
            <v>Empat puluh Dua</v>
          </cell>
          <cell r="V49" t="str">
            <v>nm</v>
          </cell>
          <cell r="W49" t="str">
            <v>ribu</v>
          </cell>
        </row>
        <row r="50">
          <cell r="T50">
            <v>43</v>
          </cell>
          <cell r="U50" t="str">
            <v>Empat puluh Tiga</v>
          </cell>
          <cell r="V50" t="str">
            <v>nm</v>
          </cell>
          <cell r="W50" t="str">
            <v>ribu</v>
          </cell>
        </row>
        <row r="51">
          <cell r="T51">
            <v>44</v>
          </cell>
          <cell r="U51" t="str">
            <v>Empat puluh Empat</v>
          </cell>
          <cell r="V51" t="str">
            <v>nm</v>
          </cell>
          <cell r="W51" t="str">
            <v>ribu</v>
          </cell>
        </row>
        <row r="52">
          <cell r="T52">
            <v>45</v>
          </cell>
          <cell r="U52" t="str">
            <v>Empat puluh Lima</v>
          </cell>
          <cell r="V52" t="str">
            <v>nm</v>
          </cell>
          <cell r="W52" t="str">
            <v>ribu</v>
          </cell>
        </row>
        <row r="53">
          <cell r="T53">
            <v>46</v>
          </cell>
          <cell r="U53" t="str">
            <v>Empat puluh Enam</v>
          </cell>
          <cell r="V53" t="str">
            <v>nm</v>
          </cell>
          <cell r="W53" t="str">
            <v>ribu</v>
          </cell>
        </row>
        <row r="54">
          <cell r="T54">
            <v>47</v>
          </cell>
          <cell r="U54" t="str">
            <v>Empat puluh Tujuh</v>
          </cell>
          <cell r="V54" t="str">
            <v>nm</v>
          </cell>
          <cell r="W54" t="str">
            <v>ribu</v>
          </cell>
        </row>
        <row r="55">
          <cell r="T55">
            <v>48</v>
          </cell>
          <cell r="U55" t="str">
            <v>Empat puluh Delapan</v>
          </cell>
          <cell r="V55" t="str">
            <v>nm</v>
          </cell>
          <cell r="W55" t="str">
            <v>ribu</v>
          </cell>
        </row>
        <row r="56">
          <cell r="T56">
            <v>49</v>
          </cell>
          <cell r="U56" t="str">
            <v>Empat puluh Sembilan</v>
          </cell>
          <cell r="V56" t="str">
            <v>nm</v>
          </cell>
          <cell r="W56" t="str">
            <v>ribu</v>
          </cell>
        </row>
        <row r="57">
          <cell r="T57">
            <v>50</v>
          </cell>
          <cell r="U57" t="str">
            <v xml:space="preserve">Lima puluh </v>
          </cell>
          <cell r="V57" t="str">
            <v>nm</v>
          </cell>
          <cell r="W57" t="str">
            <v>ribu</v>
          </cell>
        </row>
        <row r="58">
          <cell r="T58">
            <v>51</v>
          </cell>
          <cell r="U58" t="str">
            <v>Lima puluh Satu</v>
          </cell>
          <cell r="V58" t="str">
            <v>nm</v>
          </cell>
          <cell r="W58" t="str">
            <v>ribu</v>
          </cell>
        </row>
        <row r="59">
          <cell r="T59">
            <v>52</v>
          </cell>
          <cell r="U59" t="str">
            <v>Lima puluh Dua</v>
          </cell>
          <cell r="V59" t="str">
            <v>nm</v>
          </cell>
          <cell r="W59" t="str">
            <v>ribu</v>
          </cell>
        </row>
        <row r="60">
          <cell r="T60">
            <v>53</v>
          </cell>
          <cell r="U60" t="str">
            <v>Lima puluh Tiga</v>
          </cell>
          <cell r="V60" t="str">
            <v>nm</v>
          </cell>
          <cell r="W60" t="str">
            <v>ribu</v>
          </cell>
        </row>
        <row r="61">
          <cell r="T61">
            <v>54</v>
          </cell>
          <cell r="U61" t="str">
            <v>Lima puluh Empat</v>
          </cell>
          <cell r="V61" t="str">
            <v>nm</v>
          </cell>
          <cell r="W61" t="str">
            <v>ribu</v>
          </cell>
        </row>
        <row r="62">
          <cell r="T62">
            <v>55</v>
          </cell>
          <cell r="U62" t="str">
            <v>Lima puluh Lima</v>
          </cell>
          <cell r="V62" t="str">
            <v>nm</v>
          </cell>
          <cell r="W62" t="str">
            <v>ribu</v>
          </cell>
        </row>
        <row r="63">
          <cell r="T63">
            <v>56</v>
          </cell>
          <cell r="U63" t="str">
            <v>Lima puluh Enam</v>
          </cell>
          <cell r="V63" t="str">
            <v>nm</v>
          </cell>
          <cell r="W63" t="str">
            <v>ribu</v>
          </cell>
        </row>
        <row r="64">
          <cell r="T64">
            <v>57</v>
          </cell>
          <cell r="U64" t="str">
            <v>Lima puluh Tujuh</v>
          </cell>
          <cell r="V64" t="str">
            <v>nm</v>
          </cell>
          <cell r="W64" t="str">
            <v>ribu</v>
          </cell>
        </row>
        <row r="65">
          <cell r="T65">
            <v>58</v>
          </cell>
          <cell r="U65" t="str">
            <v>Lima puluh Delapan</v>
          </cell>
          <cell r="V65" t="str">
            <v>nm</v>
          </cell>
          <cell r="W65" t="str">
            <v>ribu</v>
          </cell>
        </row>
        <row r="66">
          <cell r="T66">
            <v>59</v>
          </cell>
          <cell r="U66" t="str">
            <v>Lima puluh Sembilan</v>
          </cell>
          <cell r="V66" t="str">
            <v>nm</v>
          </cell>
          <cell r="W66" t="str">
            <v>ribu</v>
          </cell>
        </row>
        <row r="67">
          <cell r="T67">
            <v>60</v>
          </cell>
          <cell r="U67" t="str">
            <v xml:space="preserve">Enam puluh </v>
          </cell>
          <cell r="V67" t="str">
            <v>nm</v>
          </cell>
          <cell r="W67" t="str">
            <v>ribu</v>
          </cell>
        </row>
        <row r="68">
          <cell r="T68">
            <v>61</v>
          </cell>
          <cell r="U68" t="str">
            <v>Enam puluh Satu</v>
          </cell>
          <cell r="V68" t="str">
            <v>nm</v>
          </cell>
          <cell r="W68" t="str">
            <v>ribu</v>
          </cell>
        </row>
        <row r="69">
          <cell r="T69">
            <v>62</v>
          </cell>
          <cell r="U69" t="str">
            <v>Enam puluh Dua</v>
          </cell>
          <cell r="V69" t="str">
            <v>nm</v>
          </cell>
          <cell r="W69" t="str">
            <v>ribu</v>
          </cell>
        </row>
        <row r="70">
          <cell r="T70">
            <v>63</v>
          </cell>
          <cell r="U70" t="str">
            <v>Enam puluh Tiga</v>
          </cell>
          <cell r="V70" t="str">
            <v>nm</v>
          </cell>
          <cell r="W70" t="str">
            <v>ribu</v>
          </cell>
        </row>
        <row r="71">
          <cell r="T71">
            <v>64</v>
          </cell>
          <cell r="U71" t="str">
            <v>Enam puluh Empat</v>
          </cell>
          <cell r="V71" t="str">
            <v>nm</v>
          </cell>
          <cell r="W71" t="str">
            <v>ribu</v>
          </cell>
        </row>
        <row r="72">
          <cell r="T72">
            <v>65</v>
          </cell>
          <cell r="U72" t="str">
            <v>Enam puluh Lima</v>
          </cell>
          <cell r="V72" t="str">
            <v>nm</v>
          </cell>
          <cell r="W72" t="str">
            <v>ribu</v>
          </cell>
        </row>
        <row r="73">
          <cell r="T73">
            <v>66</v>
          </cell>
          <cell r="U73" t="str">
            <v>Enam puluh Enam</v>
          </cell>
          <cell r="V73" t="str">
            <v>nm</v>
          </cell>
          <cell r="W73" t="str">
            <v>ribu</v>
          </cell>
        </row>
        <row r="74">
          <cell r="T74">
            <v>67</v>
          </cell>
          <cell r="U74" t="str">
            <v>Enam puluh Tujuh</v>
          </cell>
          <cell r="V74" t="str">
            <v>nm</v>
          </cell>
          <cell r="W74" t="str">
            <v>ribu</v>
          </cell>
        </row>
        <row r="75">
          <cell r="T75">
            <v>68</v>
          </cell>
          <cell r="U75" t="str">
            <v>Enam puluh Delapan</v>
          </cell>
          <cell r="V75" t="str">
            <v>nm</v>
          </cell>
          <cell r="W75" t="str">
            <v>ribu</v>
          </cell>
        </row>
        <row r="76">
          <cell r="T76">
            <v>69</v>
          </cell>
          <cell r="U76" t="str">
            <v>Enam puluh Sembilan</v>
          </cell>
          <cell r="V76" t="str">
            <v>nm</v>
          </cell>
          <cell r="W76" t="str">
            <v>ribu</v>
          </cell>
        </row>
        <row r="77">
          <cell r="T77">
            <v>70</v>
          </cell>
          <cell r="U77" t="str">
            <v xml:space="preserve">Tujuh puluh </v>
          </cell>
          <cell r="V77" t="str">
            <v>nm</v>
          </cell>
          <cell r="W77" t="str">
            <v>ribu</v>
          </cell>
        </row>
        <row r="78">
          <cell r="T78">
            <v>71</v>
          </cell>
          <cell r="U78" t="str">
            <v>Tujuh puluh Satu</v>
          </cell>
          <cell r="V78" t="str">
            <v>nm</v>
          </cell>
          <cell r="W78" t="str">
            <v>ribu</v>
          </cell>
        </row>
        <row r="79">
          <cell r="T79">
            <v>72</v>
          </cell>
          <cell r="U79" t="str">
            <v>Tujuh puluh Dua</v>
          </cell>
          <cell r="V79" t="str">
            <v>nm</v>
          </cell>
          <cell r="W79" t="str">
            <v>ribu</v>
          </cell>
        </row>
        <row r="80">
          <cell r="T80">
            <v>73</v>
          </cell>
          <cell r="U80" t="str">
            <v>Tujuh puluh Tiga</v>
          </cell>
          <cell r="V80" t="str">
            <v>nm</v>
          </cell>
          <cell r="W80" t="str">
            <v>ribu</v>
          </cell>
        </row>
        <row r="81">
          <cell r="T81">
            <v>74</v>
          </cell>
          <cell r="U81" t="str">
            <v>Tujuh puluh Empat</v>
          </cell>
          <cell r="V81" t="str">
            <v>nm</v>
          </cell>
          <cell r="W81" t="str">
            <v>ribu</v>
          </cell>
        </row>
        <row r="82">
          <cell r="T82">
            <v>75</v>
          </cell>
          <cell r="U82" t="str">
            <v>Tujuh puluh Lima</v>
          </cell>
          <cell r="V82" t="str">
            <v>nm</v>
          </cell>
          <cell r="W82" t="str">
            <v>ribu</v>
          </cell>
        </row>
        <row r="83">
          <cell r="T83">
            <v>76</v>
          </cell>
          <cell r="U83" t="str">
            <v>Tujuh puluh Enam</v>
          </cell>
          <cell r="V83" t="str">
            <v>nm</v>
          </cell>
          <cell r="W83" t="str">
            <v>ribu</v>
          </cell>
        </row>
        <row r="84">
          <cell r="T84">
            <v>77</v>
          </cell>
          <cell r="U84" t="str">
            <v>Tujuh puluh Tujuh</v>
          </cell>
          <cell r="V84" t="str">
            <v>nm</v>
          </cell>
          <cell r="W84" t="str">
            <v>ribu</v>
          </cell>
        </row>
        <row r="85">
          <cell r="T85">
            <v>78</v>
          </cell>
          <cell r="U85" t="str">
            <v>Tujuh puluh Delapan</v>
          </cell>
          <cell r="V85" t="str">
            <v>nm</v>
          </cell>
          <cell r="W85" t="str">
            <v>ribu</v>
          </cell>
        </row>
        <row r="86">
          <cell r="T86">
            <v>79</v>
          </cell>
          <cell r="U86" t="str">
            <v>Tujuh puluh Sembilan</v>
          </cell>
          <cell r="V86" t="str">
            <v>nm</v>
          </cell>
          <cell r="W86" t="str">
            <v>ribu</v>
          </cell>
        </row>
        <row r="87">
          <cell r="T87">
            <v>80</v>
          </cell>
          <cell r="U87" t="str">
            <v xml:space="preserve">Delapan puluh </v>
          </cell>
          <cell r="V87" t="str">
            <v>nm</v>
          </cell>
          <cell r="W87" t="str">
            <v>ribu</v>
          </cell>
        </row>
        <row r="88">
          <cell r="T88">
            <v>81</v>
          </cell>
          <cell r="U88" t="str">
            <v>Delapan puluh Satu</v>
          </cell>
          <cell r="V88" t="str">
            <v>nm</v>
          </cell>
          <cell r="W88" t="str">
            <v>ribu</v>
          </cell>
        </row>
        <row r="89">
          <cell r="T89">
            <v>82</v>
          </cell>
          <cell r="U89" t="str">
            <v>Delapan puluh Dua</v>
          </cell>
          <cell r="V89" t="str">
            <v>nm</v>
          </cell>
          <cell r="W89" t="str">
            <v>ribu</v>
          </cell>
        </row>
        <row r="90">
          <cell r="T90">
            <v>83</v>
          </cell>
          <cell r="U90" t="str">
            <v>Delapan puluh Tiga</v>
          </cell>
          <cell r="V90" t="str">
            <v>nm</v>
          </cell>
          <cell r="W90" t="str">
            <v>ribu</v>
          </cell>
        </row>
        <row r="91">
          <cell r="T91">
            <v>84</v>
          </cell>
          <cell r="U91" t="str">
            <v>Delapan puluh Empat</v>
          </cell>
          <cell r="V91" t="str">
            <v>nm</v>
          </cell>
          <cell r="W91" t="str">
            <v>ribu</v>
          </cell>
        </row>
        <row r="92">
          <cell r="T92">
            <v>85</v>
          </cell>
          <cell r="U92" t="str">
            <v>Delapan puluh Lima</v>
          </cell>
          <cell r="V92" t="str">
            <v>nm</v>
          </cell>
          <cell r="W92" t="str">
            <v>ribu</v>
          </cell>
        </row>
        <row r="93">
          <cell r="T93">
            <v>86</v>
          </cell>
          <cell r="U93" t="str">
            <v>Delapan puluh Enam</v>
          </cell>
          <cell r="V93" t="str">
            <v>nm</v>
          </cell>
          <cell r="W93" t="str">
            <v>ribu</v>
          </cell>
        </row>
        <row r="94">
          <cell r="T94">
            <v>87</v>
          </cell>
          <cell r="U94" t="str">
            <v>Delapan puluh Tujuh</v>
          </cell>
          <cell r="V94" t="str">
            <v>nm</v>
          </cell>
          <cell r="W94" t="str">
            <v>ribu</v>
          </cell>
        </row>
        <row r="95">
          <cell r="T95">
            <v>88</v>
          </cell>
          <cell r="U95" t="str">
            <v>Delapan puluh Delapan</v>
          </cell>
          <cell r="V95" t="str">
            <v>nm</v>
          </cell>
          <cell r="W95" t="str">
            <v>ribu</v>
          </cell>
        </row>
        <row r="96">
          <cell r="T96">
            <v>89</v>
          </cell>
          <cell r="U96" t="str">
            <v>Delapan puluh Sembilan</v>
          </cell>
          <cell r="V96" t="str">
            <v>nm</v>
          </cell>
          <cell r="W96" t="str">
            <v>ribu</v>
          </cell>
        </row>
        <row r="97">
          <cell r="T97">
            <v>90</v>
          </cell>
          <cell r="U97" t="str">
            <v xml:space="preserve">Sembilan puluh </v>
          </cell>
          <cell r="V97" t="str">
            <v>nm</v>
          </cell>
          <cell r="W97" t="str">
            <v>ribu</v>
          </cell>
        </row>
        <row r="98">
          <cell r="T98">
            <v>91</v>
          </cell>
          <cell r="U98" t="str">
            <v>Sembilan puluh Satu</v>
          </cell>
          <cell r="V98" t="str">
            <v>nm</v>
          </cell>
          <cell r="W98" t="str">
            <v>ribu</v>
          </cell>
        </row>
        <row r="99">
          <cell r="T99">
            <v>92</v>
          </cell>
          <cell r="U99" t="str">
            <v>Sembilan puluh Dua</v>
          </cell>
          <cell r="V99" t="str">
            <v>nm</v>
          </cell>
          <cell r="W99" t="str">
            <v>ribu</v>
          </cell>
        </row>
        <row r="100">
          <cell r="T100">
            <v>93</v>
          </cell>
          <cell r="U100" t="str">
            <v>Sembilan puluh Tiga</v>
          </cell>
          <cell r="V100" t="str">
            <v>nm</v>
          </cell>
          <cell r="W100" t="str">
            <v>ribu</v>
          </cell>
        </row>
        <row r="101">
          <cell r="T101">
            <v>94</v>
          </cell>
          <cell r="U101" t="str">
            <v>Sembilan puluh Empat</v>
          </cell>
          <cell r="V101" t="str">
            <v>nm</v>
          </cell>
          <cell r="W101" t="str">
            <v>ribu</v>
          </cell>
        </row>
        <row r="102">
          <cell r="T102">
            <v>95</v>
          </cell>
          <cell r="U102" t="str">
            <v>Sembilan puluh Lima</v>
          </cell>
          <cell r="V102" t="str">
            <v>nm</v>
          </cell>
          <cell r="W102" t="str">
            <v>ribu</v>
          </cell>
        </row>
        <row r="103">
          <cell r="T103">
            <v>96</v>
          </cell>
          <cell r="U103" t="str">
            <v>Sembilan puluh Enam</v>
          </cell>
          <cell r="V103" t="str">
            <v>nm</v>
          </cell>
          <cell r="W103" t="str">
            <v>ribu</v>
          </cell>
        </row>
        <row r="104">
          <cell r="T104">
            <v>97</v>
          </cell>
          <cell r="U104" t="str">
            <v>Sembilan puluh Tujuh</v>
          </cell>
          <cell r="V104" t="str">
            <v>nm</v>
          </cell>
          <cell r="W104" t="str">
            <v>ribu</v>
          </cell>
        </row>
        <row r="105">
          <cell r="T105">
            <v>98</v>
          </cell>
          <cell r="U105" t="str">
            <v>Sembilan puluh Delapan</v>
          </cell>
          <cell r="V105" t="str">
            <v>nm</v>
          </cell>
          <cell r="W105" t="str">
            <v>ribu</v>
          </cell>
        </row>
        <row r="106">
          <cell r="T106">
            <v>99</v>
          </cell>
          <cell r="U106" t="str">
            <v>Sembilan puluh Sembilan</v>
          </cell>
          <cell r="V106" t="str">
            <v>nm</v>
          </cell>
          <cell r="W106" t="str">
            <v>ribu</v>
          </cell>
        </row>
        <row r="107">
          <cell r="T107">
            <v>100</v>
          </cell>
          <cell r="U107" t="str">
            <v xml:space="preserve">seratus </v>
          </cell>
          <cell r="V107" t="str">
            <v xml:space="preserve">ribu </v>
          </cell>
          <cell r="W107" t="str">
            <v>ribu</v>
          </cell>
        </row>
        <row r="108">
          <cell r="T108">
            <v>101</v>
          </cell>
          <cell r="U108" t="str">
            <v>seratus Satu</v>
          </cell>
          <cell r="V108" t="str">
            <v xml:space="preserve">ribu </v>
          </cell>
          <cell r="W108" t="str">
            <v>ribu</v>
          </cell>
        </row>
        <row r="109">
          <cell r="T109">
            <v>102</v>
          </cell>
          <cell r="U109" t="str">
            <v>seratus Dua</v>
          </cell>
          <cell r="V109" t="str">
            <v xml:space="preserve">ribu </v>
          </cell>
          <cell r="W109" t="str">
            <v>ribu</v>
          </cell>
        </row>
        <row r="110">
          <cell r="T110">
            <v>103</v>
          </cell>
          <cell r="U110" t="str">
            <v>seratus Tiga</v>
          </cell>
          <cell r="V110" t="str">
            <v xml:space="preserve">ribu </v>
          </cell>
          <cell r="W110" t="str">
            <v>ribu</v>
          </cell>
        </row>
        <row r="111">
          <cell r="T111">
            <v>104</v>
          </cell>
          <cell r="U111" t="str">
            <v>seratus Empat</v>
          </cell>
          <cell r="V111" t="str">
            <v xml:space="preserve">ribu </v>
          </cell>
          <cell r="W111" t="str">
            <v>ribu</v>
          </cell>
        </row>
        <row r="112">
          <cell r="T112">
            <v>105</v>
          </cell>
          <cell r="U112" t="str">
            <v>seratus Lima</v>
          </cell>
          <cell r="V112" t="str">
            <v xml:space="preserve">ribu </v>
          </cell>
          <cell r="W112" t="str">
            <v>ribu</v>
          </cell>
        </row>
        <row r="113">
          <cell r="T113">
            <v>106</v>
          </cell>
          <cell r="U113" t="str">
            <v>seratus Enam</v>
          </cell>
          <cell r="V113" t="str">
            <v xml:space="preserve">ribu </v>
          </cell>
          <cell r="W113" t="str">
            <v>ribu</v>
          </cell>
        </row>
        <row r="114">
          <cell r="T114">
            <v>107</v>
          </cell>
          <cell r="U114" t="str">
            <v>seratus Tujuh</v>
          </cell>
          <cell r="V114" t="str">
            <v xml:space="preserve">ribu </v>
          </cell>
          <cell r="W114" t="str">
            <v>ribu</v>
          </cell>
        </row>
        <row r="115">
          <cell r="T115">
            <v>108</v>
          </cell>
          <cell r="U115" t="str">
            <v>seratus Delapan</v>
          </cell>
          <cell r="V115" t="str">
            <v xml:space="preserve">ribu </v>
          </cell>
          <cell r="W115" t="str">
            <v>ribu</v>
          </cell>
        </row>
        <row r="116">
          <cell r="T116">
            <v>109</v>
          </cell>
          <cell r="U116" t="str">
            <v>seratus Sembilan</v>
          </cell>
          <cell r="V116" t="str">
            <v xml:space="preserve">ribu </v>
          </cell>
          <cell r="W116" t="str">
            <v>ribu</v>
          </cell>
        </row>
        <row r="117">
          <cell r="T117">
            <v>110</v>
          </cell>
          <cell r="U117" t="str">
            <v>seratus Sepuluh</v>
          </cell>
          <cell r="V117" t="str">
            <v xml:space="preserve">ribu </v>
          </cell>
          <cell r="W117" t="str">
            <v>ribu</v>
          </cell>
        </row>
        <row r="118">
          <cell r="T118">
            <v>111</v>
          </cell>
          <cell r="U118" t="str">
            <v>seratus Sebelas</v>
          </cell>
          <cell r="V118" t="str">
            <v xml:space="preserve">ribu </v>
          </cell>
          <cell r="W118" t="str">
            <v>ribu</v>
          </cell>
        </row>
        <row r="119">
          <cell r="T119">
            <v>112</v>
          </cell>
          <cell r="U119" t="str">
            <v>seratus Dua belas</v>
          </cell>
          <cell r="V119" t="str">
            <v xml:space="preserve">ribu </v>
          </cell>
          <cell r="W119" t="str">
            <v>ribu</v>
          </cell>
        </row>
        <row r="120">
          <cell r="T120">
            <v>113</v>
          </cell>
          <cell r="U120" t="str">
            <v>seratus Tiga belas</v>
          </cell>
          <cell r="V120" t="str">
            <v xml:space="preserve">ribu </v>
          </cell>
          <cell r="W120" t="str">
            <v>ribu</v>
          </cell>
        </row>
        <row r="121">
          <cell r="T121">
            <v>114</v>
          </cell>
          <cell r="U121" t="str">
            <v>seratus Empat belas</v>
          </cell>
          <cell r="V121" t="str">
            <v xml:space="preserve">ribu </v>
          </cell>
          <cell r="W121" t="str">
            <v>ribu</v>
          </cell>
        </row>
        <row r="122">
          <cell r="T122">
            <v>115</v>
          </cell>
          <cell r="U122" t="str">
            <v>seratus Lima belas</v>
          </cell>
          <cell r="V122" t="str">
            <v xml:space="preserve">ribu </v>
          </cell>
          <cell r="W122" t="str">
            <v>ribu</v>
          </cell>
        </row>
        <row r="123">
          <cell r="T123">
            <v>116</v>
          </cell>
          <cell r="U123" t="str">
            <v>seratus Enam belas</v>
          </cell>
          <cell r="V123" t="str">
            <v xml:space="preserve">ribu </v>
          </cell>
          <cell r="W123" t="str">
            <v>ribu</v>
          </cell>
        </row>
        <row r="124">
          <cell r="T124">
            <v>117</v>
          </cell>
          <cell r="U124" t="str">
            <v>seratus Tujuh belas</v>
          </cell>
          <cell r="V124" t="str">
            <v xml:space="preserve">ribu </v>
          </cell>
          <cell r="W124" t="str">
            <v>ribu</v>
          </cell>
        </row>
        <row r="125">
          <cell r="T125">
            <v>118</v>
          </cell>
          <cell r="U125" t="str">
            <v>seratus Delapan belas</v>
          </cell>
          <cell r="V125" t="str">
            <v xml:space="preserve">ribu </v>
          </cell>
          <cell r="W125" t="str">
            <v>ribu</v>
          </cell>
        </row>
        <row r="126">
          <cell r="T126">
            <v>119</v>
          </cell>
          <cell r="U126" t="str">
            <v>seratus Sembilan belas</v>
          </cell>
          <cell r="V126" t="str">
            <v xml:space="preserve">ribu </v>
          </cell>
          <cell r="W126" t="str">
            <v>ribu</v>
          </cell>
        </row>
        <row r="127">
          <cell r="T127">
            <v>120</v>
          </cell>
          <cell r="U127" t="str">
            <v xml:space="preserve">seratus Dua puluh </v>
          </cell>
          <cell r="V127" t="str">
            <v xml:space="preserve">ribu </v>
          </cell>
          <cell r="W127" t="str">
            <v>ribu</v>
          </cell>
        </row>
        <row r="128">
          <cell r="T128">
            <v>121</v>
          </cell>
          <cell r="U128" t="str">
            <v>seratus Dua puluh Satu</v>
          </cell>
          <cell r="V128" t="str">
            <v xml:space="preserve">ribu </v>
          </cell>
          <cell r="W128" t="str">
            <v>ribu</v>
          </cell>
        </row>
        <row r="129">
          <cell r="T129">
            <v>122</v>
          </cell>
          <cell r="U129" t="str">
            <v>seratus Dua puluh Dua</v>
          </cell>
          <cell r="V129" t="str">
            <v xml:space="preserve">ribu </v>
          </cell>
          <cell r="W129" t="str">
            <v>ribu</v>
          </cell>
        </row>
        <row r="130">
          <cell r="T130">
            <v>123</v>
          </cell>
          <cell r="U130" t="str">
            <v>seratus Dua puluh Tiga</v>
          </cell>
          <cell r="V130" t="str">
            <v xml:space="preserve">ribu </v>
          </cell>
          <cell r="W130" t="str">
            <v>ribu</v>
          </cell>
        </row>
        <row r="131">
          <cell r="T131">
            <v>124</v>
          </cell>
          <cell r="U131" t="str">
            <v>seratus Dua puluh Empat</v>
          </cell>
          <cell r="V131" t="str">
            <v xml:space="preserve">ribu </v>
          </cell>
          <cell r="W131" t="str">
            <v>ribu</v>
          </cell>
        </row>
        <row r="132">
          <cell r="T132">
            <v>125</v>
          </cell>
          <cell r="U132" t="str">
            <v>seratus Dua puluh Lima</v>
          </cell>
          <cell r="V132" t="str">
            <v xml:space="preserve">ribu </v>
          </cell>
          <cell r="W132" t="str">
            <v>ribu</v>
          </cell>
        </row>
        <row r="133">
          <cell r="T133">
            <v>126</v>
          </cell>
          <cell r="U133" t="str">
            <v>seratus Dua puluh Enam</v>
          </cell>
          <cell r="V133" t="str">
            <v xml:space="preserve">ribu </v>
          </cell>
          <cell r="W133" t="str">
            <v>ribu</v>
          </cell>
        </row>
        <row r="134">
          <cell r="T134">
            <v>127</v>
          </cell>
          <cell r="U134" t="str">
            <v>seratus Dua puluh Tujuh</v>
          </cell>
          <cell r="V134" t="str">
            <v xml:space="preserve">ribu </v>
          </cell>
          <cell r="W134" t="str">
            <v>ribu</v>
          </cell>
        </row>
        <row r="135">
          <cell r="T135">
            <v>128</v>
          </cell>
          <cell r="U135" t="str">
            <v>seratus Dua puluh Delapan</v>
          </cell>
          <cell r="V135" t="str">
            <v xml:space="preserve">ribu </v>
          </cell>
          <cell r="W135" t="str">
            <v>ribu</v>
          </cell>
        </row>
        <row r="136">
          <cell r="T136">
            <v>129</v>
          </cell>
          <cell r="U136" t="str">
            <v>seratus Dua puluh Sembilan</v>
          </cell>
          <cell r="V136" t="str">
            <v xml:space="preserve">ribu </v>
          </cell>
          <cell r="W136" t="str">
            <v>ribu</v>
          </cell>
        </row>
        <row r="137">
          <cell r="T137">
            <v>130</v>
          </cell>
          <cell r="U137" t="str">
            <v xml:space="preserve">seratus Tiga puluh </v>
          </cell>
          <cell r="V137" t="str">
            <v xml:space="preserve">ribu </v>
          </cell>
          <cell r="W137" t="str">
            <v>ribu</v>
          </cell>
        </row>
        <row r="138">
          <cell r="T138">
            <v>131</v>
          </cell>
          <cell r="U138" t="str">
            <v>seratus Tiga puluh Satu</v>
          </cell>
          <cell r="V138" t="str">
            <v xml:space="preserve">ribu </v>
          </cell>
          <cell r="W138" t="str">
            <v>ribu</v>
          </cell>
        </row>
        <row r="139">
          <cell r="T139">
            <v>132</v>
          </cell>
          <cell r="U139" t="str">
            <v>seratus Tiga puluh Dua</v>
          </cell>
          <cell r="V139" t="str">
            <v xml:space="preserve">ribu </v>
          </cell>
          <cell r="W139" t="str">
            <v>ribu</v>
          </cell>
        </row>
        <row r="140">
          <cell r="T140">
            <v>133</v>
          </cell>
          <cell r="U140" t="str">
            <v>seratus Tiga puluh Tiga</v>
          </cell>
          <cell r="V140" t="str">
            <v xml:space="preserve">ribu </v>
          </cell>
          <cell r="W140" t="str">
            <v>ribu</v>
          </cell>
        </row>
        <row r="141">
          <cell r="T141">
            <v>134</v>
          </cell>
          <cell r="U141" t="str">
            <v>seratus Tiga puluh Empat</v>
          </cell>
          <cell r="V141" t="str">
            <v xml:space="preserve">ribu </v>
          </cell>
          <cell r="W141" t="str">
            <v>ribu</v>
          </cell>
        </row>
        <row r="142">
          <cell r="T142">
            <v>135</v>
          </cell>
          <cell r="U142" t="str">
            <v>seratus Tiga puluh Lima</v>
          </cell>
          <cell r="V142" t="str">
            <v xml:space="preserve">ribu </v>
          </cell>
          <cell r="W142" t="str">
            <v>ribu</v>
          </cell>
        </row>
        <row r="143">
          <cell r="T143">
            <v>136</v>
          </cell>
          <cell r="U143" t="str">
            <v>seratus Tiga puluh Enam</v>
          </cell>
          <cell r="V143" t="str">
            <v xml:space="preserve">ribu </v>
          </cell>
          <cell r="W143" t="str">
            <v>ribu</v>
          </cell>
        </row>
        <row r="144">
          <cell r="T144">
            <v>137</v>
          </cell>
          <cell r="U144" t="str">
            <v>seratus Tiga puluh Tujuh</v>
          </cell>
          <cell r="V144" t="str">
            <v xml:space="preserve">ribu </v>
          </cell>
          <cell r="W144" t="str">
            <v>ribu</v>
          </cell>
        </row>
        <row r="145">
          <cell r="T145">
            <v>138</v>
          </cell>
          <cell r="U145" t="str">
            <v>seratus Tiga puluh Delapan</v>
          </cell>
          <cell r="V145" t="str">
            <v xml:space="preserve">ribu </v>
          </cell>
          <cell r="W145" t="str">
            <v>ribu</v>
          </cell>
        </row>
        <row r="146">
          <cell r="T146">
            <v>139</v>
          </cell>
          <cell r="U146" t="str">
            <v>seratus Tiga puluh Sembilan</v>
          </cell>
          <cell r="V146" t="str">
            <v xml:space="preserve">ribu </v>
          </cell>
          <cell r="W146" t="str">
            <v>ribu</v>
          </cell>
        </row>
        <row r="147">
          <cell r="T147">
            <v>140</v>
          </cell>
          <cell r="U147" t="str">
            <v xml:space="preserve">seratus Empat puluh </v>
          </cell>
          <cell r="V147" t="str">
            <v xml:space="preserve">ribu </v>
          </cell>
          <cell r="W147" t="str">
            <v>ribu</v>
          </cell>
        </row>
        <row r="148">
          <cell r="T148">
            <v>141</v>
          </cell>
          <cell r="U148" t="str">
            <v>seratus Empat puluh Satu</v>
          </cell>
          <cell r="V148" t="str">
            <v xml:space="preserve">ribu </v>
          </cell>
          <cell r="W148" t="str">
            <v>ribu</v>
          </cell>
        </row>
        <row r="149">
          <cell r="T149">
            <v>142</v>
          </cell>
          <cell r="U149" t="str">
            <v>seratus Empat puluh Dua</v>
          </cell>
          <cell r="V149" t="str">
            <v xml:space="preserve">ribu </v>
          </cell>
          <cell r="W149" t="str">
            <v>ribu</v>
          </cell>
        </row>
        <row r="150">
          <cell r="T150">
            <v>143</v>
          </cell>
          <cell r="U150" t="str">
            <v>seratus Empat puluh Tiga</v>
          </cell>
          <cell r="V150" t="str">
            <v xml:space="preserve">ribu </v>
          </cell>
          <cell r="W150" t="str">
            <v>ribu</v>
          </cell>
        </row>
        <row r="151">
          <cell r="T151">
            <v>144</v>
          </cell>
          <cell r="U151" t="str">
            <v>seratus Empat puluh Empat</v>
          </cell>
          <cell r="V151" t="str">
            <v xml:space="preserve">ribu </v>
          </cell>
          <cell r="W151" t="str">
            <v>ribu</v>
          </cell>
        </row>
        <row r="152">
          <cell r="T152">
            <v>145</v>
          </cell>
          <cell r="U152" t="str">
            <v>seratus Empat puluh Lima</v>
          </cell>
          <cell r="V152" t="str">
            <v xml:space="preserve">ribu </v>
          </cell>
          <cell r="W152" t="str">
            <v>ribu</v>
          </cell>
        </row>
        <row r="153">
          <cell r="T153">
            <v>146</v>
          </cell>
          <cell r="U153" t="str">
            <v>seratus Empat puluh Enam</v>
          </cell>
          <cell r="V153" t="str">
            <v xml:space="preserve">ribu </v>
          </cell>
          <cell r="W153" t="str">
            <v>ribu</v>
          </cell>
        </row>
        <row r="154">
          <cell r="T154">
            <v>147</v>
          </cell>
          <cell r="U154" t="str">
            <v>seratus Empat puluh Tujuh</v>
          </cell>
          <cell r="V154" t="str">
            <v xml:space="preserve">ribu </v>
          </cell>
          <cell r="W154" t="str">
            <v>ribu</v>
          </cell>
        </row>
        <row r="155">
          <cell r="T155">
            <v>148</v>
          </cell>
          <cell r="U155" t="str">
            <v>seratus Empat puluh Delapan</v>
          </cell>
          <cell r="V155" t="str">
            <v xml:space="preserve">ribu </v>
          </cell>
          <cell r="W155" t="str">
            <v>ribu</v>
          </cell>
        </row>
        <row r="156">
          <cell r="T156">
            <v>149</v>
          </cell>
          <cell r="U156" t="str">
            <v>seratus Empat puluh Sembilan</v>
          </cell>
          <cell r="V156" t="str">
            <v xml:space="preserve">ribu </v>
          </cell>
          <cell r="W156" t="str">
            <v>ribu</v>
          </cell>
        </row>
        <row r="157">
          <cell r="T157">
            <v>150</v>
          </cell>
          <cell r="U157" t="str">
            <v xml:space="preserve">seratus Lima puluh </v>
          </cell>
          <cell r="V157" t="str">
            <v xml:space="preserve">ribu </v>
          </cell>
          <cell r="W157" t="str">
            <v>ribu</v>
          </cell>
        </row>
        <row r="158">
          <cell r="T158">
            <v>151</v>
          </cell>
          <cell r="U158" t="str">
            <v>seratus Lima puluh Satu</v>
          </cell>
          <cell r="V158" t="str">
            <v xml:space="preserve">ribu </v>
          </cell>
          <cell r="W158" t="str">
            <v>ribu</v>
          </cell>
        </row>
        <row r="159">
          <cell r="T159">
            <v>152</v>
          </cell>
          <cell r="U159" t="str">
            <v>seratus Lima puluh Dua</v>
          </cell>
          <cell r="V159" t="str">
            <v xml:space="preserve">ribu </v>
          </cell>
          <cell r="W159" t="str">
            <v>ribu</v>
          </cell>
        </row>
        <row r="160">
          <cell r="T160">
            <v>153</v>
          </cell>
          <cell r="U160" t="str">
            <v>seratus Lima puluh Tiga</v>
          </cell>
          <cell r="V160" t="str">
            <v xml:space="preserve">ribu </v>
          </cell>
          <cell r="W160" t="str">
            <v>ribu</v>
          </cell>
        </row>
        <row r="161">
          <cell r="T161">
            <v>154</v>
          </cell>
          <cell r="U161" t="str">
            <v>seratus Lima puluh Empat</v>
          </cell>
          <cell r="V161" t="str">
            <v xml:space="preserve">ribu </v>
          </cell>
          <cell r="W161" t="str">
            <v>ribu</v>
          </cell>
        </row>
        <row r="162">
          <cell r="T162">
            <v>155</v>
          </cell>
          <cell r="U162" t="str">
            <v>seratus Lima puluh Lima</v>
          </cell>
          <cell r="V162" t="str">
            <v xml:space="preserve">ribu </v>
          </cell>
          <cell r="W162" t="str">
            <v>ribu</v>
          </cell>
        </row>
        <row r="163">
          <cell r="T163">
            <v>156</v>
          </cell>
          <cell r="U163" t="str">
            <v>seratus Lima puluh Enam</v>
          </cell>
          <cell r="V163" t="str">
            <v xml:space="preserve">ribu </v>
          </cell>
          <cell r="W163" t="str">
            <v>ribu</v>
          </cell>
        </row>
        <row r="164">
          <cell r="T164">
            <v>157</v>
          </cell>
          <cell r="U164" t="str">
            <v>seratus Lima puluh Tujuh</v>
          </cell>
          <cell r="V164" t="str">
            <v xml:space="preserve">ribu </v>
          </cell>
          <cell r="W164" t="str">
            <v>ribu</v>
          </cell>
        </row>
        <row r="165">
          <cell r="T165">
            <v>158</v>
          </cell>
          <cell r="U165" t="str">
            <v>seratus Lima puluh Delapan</v>
          </cell>
          <cell r="V165" t="str">
            <v xml:space="preserve">ribu </v>
          </cell>
          <cell r="W165" t="str">
            <v>ribu</v>
          </cell>
        </row>
        <row r="166">
          <cell r="T166">
            <v>159</v>
          </cell>
          <cell r="U166" t="str">
            <v>seratus Lima puluh Sembilan</v>
          </cell>
          <cell r="V166" t="str">
            <v xml:space="preserve">ribu </v>
          </cell>
          <cell r="W166" t="str">
            <v>ribu</v>
          </cell>
        </row>
        <row r="167">
          <cell r="T167">
            <v>160</v>
          </cell>
          <cell r="U167" t="str">
            <v xml:space="preserve">seratus Enam puluh </v>
          </cell>
          <cell r="V167" t="str">
            <v xml:space="preserve">ribu </v>
          </cell>
          <cell r="W167" t="str">
            <v>ribu</v>
          </cell>
        </row>
        <row r="168">
          <cell r="T168">
            <v>161</v>
          </cell>
          <cell r="U168" t="str">
            <v>seratus Enam puluh Satu</v>
          </cell>
          <cell r="V168" t="str">
            <v xml:space="preserve">ribu </v>
          </cell>
          <cell r="W168" t="str">
            <v>ribu</v>
          </cell>
        </row>
        <row r="169">
          <cell r="T169">
            <v>162</v>
          </cell>
          <cell r="U169" t="str">
            <v>seratus Enam puluh Dua</v>
          </cell>
          <cell r="V169" t="str">
            <v xml:space="preserve">ribu </v>
          </cell>
          <cell r="W169" t="str">
            <v>ribu</v>
          </cell>
        </row>
        <row r="170">
          <cell r="T170">
            <v>163</v>
          </cell>
          <cell r="U170" t="str">
            <v>seratus Enam puluh Tiga</v>
          </cell>
          <cell r="V170" t="str">
            <v xml:space="preserve">ribu </v>
          </cell>
          <cell r="W170" t="str">
            <v>ribu</v>
          </cell>
        </row>
        <row r="171">
          <cell r="T171">
            <v>164</v>
          </cell>
          <cell r="U171" t="str">
            <v>seratus Enam puluh Empat</v>
          </cell>
          <cell r="V171" t="str">
            <v xml:space="preserve">ribu </v>
          </cell>
          <cell r="W171" t="str">
            <v>ribu</v>
          </cell>
        </row>
        <row r="172">
          <cell r="T172">
            <v>165</v>
          </cell>
          <cell r="U172" t="str">
            <v>seratus Enam puluh Lima</v>
          </cell>
          <cell r="V172" t="str">
            <v xml:space="preserve">ribu </v>
          </cell>
          <cell r="W172" t="str">
            <v>ribu</v>
          </cell>
        </row>
        <row r="173">
          <cell r="T173">
            <v>166</v>
          </cell>
          <cell r="U173" t="str">
            <v>seratus Enam puluh Enam</v>
          </cell>
          <cell r="V173" t="str">
            <v xml:space="preserve">ribu </v>
          </cell>
          <cell r="W173" t="str">
            <v>ribu</v>
          </cell>
        </row>
        <row r="174">
          <cell r="T174">
            <v>167</v>
          </cell>
          <cell r="U174" t="str">
            <v>seratus Enam puluh Tujuh</v>
          </cell>
          <cell r="V174" t="str">
            <v xml:space="preserve">ribu </v>
          </cell>
          <cell r="W174" t="str">
            <v>ribu</v>
          </cell>
        </row>
        <row r="175">
          <cell r="T175">
            <v>168</v>
          </cell>
          <cell r="U175" t="str">
            <v>seratus Enam puluh Delapan</v>
          </cell>
          <cell r="V175" t="str">
            <v xml:space="preserve">ribu </v>
          </cell>
          <cell r="W175" t="str">
            <v>ribu</v>
          </cell>
        </row>
        <row r="176">
          <cell r="T176">
            <v>169</v>
          </cell>
          <cell r="U176" t="str">
            <v>seratus Enam puluh Sembilan</v>
          </cell>
          <cell r="V176" t="str">
            <v xml:space="preserve">ribu </v>
          </cell>
          <cell r="W176" t="str">
            <v>ribu</v>
          </cell>
        </row>
        <row r="177">
          <cell r="T177">
            <v>170</v>
          </cell>
          <cell r="U177" t="str">
            <v xml:space="preserve">seratus Tujuh puluh </v>
          </cell>
          <cell r="V177" t="str">
            <v xml:space="preserve">ribu </v>
          </cell>
          <cell r="W177" t="str">
            <v>ribu</v>
          </cell>
        </row>
        <row r="178">
          <cell r="T178">
            <v>171</v>
          </cell>
          <cell r="U178" t="str">
            <v>seratus Tujuh puluh Satu</v>
          </cell>
          <cell r="V178" t="str">
            <v xml:space="preserve">ribu </v>
          </cell>
          <cell r="W178" t="str">
            <v>ribu</v>
          </cell>
        </row>
        <row r="179">
          <cell r="T179">
            <v>172</v>
          </cell>
          <cell r="U179" t="str">
            <v>seratus Tujuh puluh Dua</v>
          </cell>
          <cell r="V179" t="str">
            <v xml:space="preserve">ribu </v>
          </cell>
          <cell r="W179" t="str">
            <v>ribu</v>
          </cell>
        </row>
        <row r="180">
          <cell r="T180">
            <v>173</v>
          </cell>
          <cell r="U180" t="str">
            <v>seratus Tujuh puluh Tiga</v>
          </cell>
          <cell r="V180" t="str">
            <v xml:space="preserve">ribu </v>
          </cell>
          <cell r="W180" t="str">
            <v>ribu</v>
          </cell>
        </row>
        <row r="181">
          <cell r="T181">
            <v>174</v>
          </cell>
          <cell r="U181" t="str">
            <v>seratus Tujuh puluh Empat</v>
          </cell>
          <cell r="V181" t="str">
            <v xml:space="preserve">ribu </v>
          </cell>
          <cell r="W181" t="str">
            <v>ribu</v>
          </cell>
        </row>
        <row r="182">
          <cell r="T182">
            <v>175</v>
          </cell>
          <cell r="U182" t="str">
            <v>seratus Tujuh puluh Lima</v>
          </cell>
          <cell r="V182" t="str">
            <v xml:space="preserve">ribu </v>
          </cell>
          <cell r="W182" t="str">
            <v>ribu</v>
          </cell>
        </row>
        <row r="183">
          <cell r="T183">
            <v>176</v>
          </cell>
          <cell r="U183" t="str">
            <v>seratus Tujuh puluh Enam</v>
          </cell>
          <cell r="V183" t="str">
            <v xml:space="preserve">ribu </v>
          </cell>
          <cell r="W183" t="str">
            <v>ribu</v>
          </cell>
        </row>
        <row r="184">
          <cell r="T184">
            <v>177</v>
          </cell>
          <cell r="U184" t="str">
            <v>seratus Tujuh puluh Tujuh</v>
          </cell>
          <cell r="V184" t="str">
            <v xml:space="preserve">ribu </v>
          </cell>
          <cell r="W184" t="str">
            <v>ribu</v>
          </cell>
        </row>
        <row r="185">
          <cell r="T185">
            <v>178</v>
          </cell>
          <cell r="U185" t="str">
            <v>seratus Tujuh puluh Delapan</v>
          </cell>
          <cell r="V185" t="str">
            <v xml:space="preserve">ribu </v>
          </cell>
          <cell r="W185" t="str">
            <v>ribu</v>
          </cell>
        </row>
        <row r="186">
          <cell r="T186">
            <v>179</v>
          </cell>
          <cell r="U186" t="str">
            <v>seratus Tujuh puluh Sembilan</v>
          </cell>
          <cell r="V186" t="str">
            <v xml:space="preserve">ribu </v>
          </cell>
          <cell r="W186" t="str">
            <v>ribu</v>
          </cell>
        </row>
        <row r="187">
          <cell r="T187">
            <v>180</v>
          </cell>
          <cell r="U187" t="str">
            <v xml:space="preserve">seratus Delapan puluh </v>
          </cell>
          <cell r="V187" t="str">
            <v xml:space="preserve">ribu </v>
          </cell>
          <cell r="W187" t="str">
            <v>ribu</v>
          </cell>
        </row>
        <row r="188">
          <cell r="T188">
            <v>181</v>
          </cell>
          <cell r="U188" t="str">
            <v>seratus Delapan puluh Satu</v>
          </cell>
          <cell r="V188" t="str">
            <v xml:space="preserve">ribu </v>
          </cell>
          <cell r="W188" t="str">
            <v>ribu</v>
          </cell>
        </row>
        <row r="189">
          <cell r="T189">
            <v>182</v>
          </cell>
          <cell r="U189" t="str">
            <v>seratus Delapan puluh Dua</v>
          </cell>
          <cell r="V189" t="str">
            <v xml:space="preserve">ribu </v>
          </cell>
          <cell r="W189" t="str">
            <v>ribu</v>
          </cell>
        </row>
        <row r="190">
          <cell r="T190">
            <v>183</v>
          </cell>
          <cell r="U190" t="str">
            <v>seratus Delapan puluh Tiga</v>
          </cell>
          <cell r="V190" t="str">
            <v xml:space="preserve">ribu </v>
          </cell>
          <cell r="W190" t="str">
            <v>ribu</v>
          </cell>
        </row>
        <row r="191">
          <cell r="T191">
            <v>184</v>
          </cell>
          <cell r="U191" t="str">
            <v>seratus Delapan puluh Empat</v>
          </cell>
          <cell r="V191" t="str">
            <v xml:space="preserve">ribu </v>
          </cell>
          <cell r="W191" t="str">
            <v>ribu</v>
          </cell>
        </row>
        <row r="192">
          <cell r="T192">
            <v>185</v>
          </cell>
          <cell r="U192" t="str">
            <v>seratus Delapan puluh Lima</v>
          </cell>
          <cell r="V192" t="str">
            <v xml:space="preserve">ribu </v>
          </cell>
          <cell r="W192" t="str">
            <v>ribu</v>
          </cell>
        </row>
        <row r="193">
          <cell r="T193">
            <v>186</v>
          </cell>
          <cell r="U193" t="str">
            <v>seratus Delapan puluh Enam</v>
          </cell>
          <cell r="V193" t="str">
            <v xml:space="preserve">ribu </v>
          </cell>
          <cell r="W193" t="str">
            <v>ribu</v>
          </cell>
        </row>
        <row r="194">
          <cell r="T194">
            <v>187</v>
          </cell>
          <cell r="U194" t="str">
            <v>seratus Delapan puluh Tujuh</v>
          </cell>
          <cell r="V194" t="str">
            <v xml:space="preserve">ribu </v>
          </cell>
          <cell r="W194" t="str">
            <v>ribu</v>
          </cell>
        </row>
        <row r="195">
          <cell r="T195">
            <v>188</v>
          </cell>
          <cell r="U195" t="str">
            <v>seratus Delapan puluh Delapan</v>
          </cell>
          <cell r="V195" t="str">
            <v xml:space="preserve">ribu </v>
          </cell>
          <cell r="W195" t="str">
            <v>ribu</v>
          </cell>
        </row>
        <row r="196">
          <cell r="T196">
            <v>189</v>
          </cell>
          <cell r="U196" t="str">
            <v>seratus Delapan puluh Sembilan</v>
          </cell>
          <cell r="V196" t="str">
            <v xml:space="preserve">ribu </v>
          </cell>
          <cell r="W196" t="str">
            <v>ribu</v>
          </cell>
        </row>
        <row r="197">
          <cell r="T197">
            <v>190</v>
          </cell>
          <cell r="U197" t="str">
            <v xml:space="preserve">seratus Sembilan puluh </v>
          </cell>
          <cell r="V197" t="str">
            <v xml:space="preserve">ribu </v>
          </cell>
          <cell r="W197" t="str">
            <v>ribu</v>
          </cell>
        </row>
        <row r="198">
          <cell r="T198">
            <v>191</v>
          </cell>
          <cell r="U198" t="str">
            <v>seratus Sembilan puluh Satu</v>
          </cell>
          <cell r="V198" t="str">
            <v xml:space="preserve">ribu </v>
          </cell>
          <cell r="W198" t="str">
            <v>ribu</v>
          </cell>
        </row>
        <row r="199">
          <cell r="T199">
            <v>192</v>
          </cell>
          <cell r="U199" t="str">
            <v>seratus Sembilan puluh Dua</v>
          </cell>
          <cell r="V199" t="str">
            <v xml:space="preserve">ribu </v>
          </cell>
          <cell r="W199" t="str">
            <v>ribu</v>
          </cell>
        </row>
        <row r="200">
          <cell r="T200">
            <v>193</v>
          </cell>
          <cell r="U200" t="str">
            <v>seratus Sembilan puluh Tiga</v>
          </cell>
          <cell r="V200" t="str">
            <v xml:space="preserve">ribu </v>
          </cell>
          <cell r="W200" t="str">
            <v>ribu</v>
          </cell>
        </row>
        <row r="201">
          <cell r="T201">
            <v>194</v>
          </cell>
          <cell r="U201" t="str">
            <v>seratus Sembilan puluh Empat</v>
          </cell>
          <cell r="V201" t="str">
            <v xml:space="preserve">ribu </v>
          </cell>
          <cell r="W201" t="str">
            <v>ribu</v>
          </cell>
        </row>
        <row r="202">
          <cell r="T202">
            <v>195</v>
          </cell>
          <cell r="U202" t="str">
            <v>seratus Sembilan puluh Lima</v>
          </cell>
          <cell r="V202" t="str">
            <v xml:space="preserve">ribu </v>
          </cell>
          <cell r="W202" t="str">
            <v>ribu</v>
          </cell>
        </row>
        <row r="203">
          <cell r="T203">
            <v>196</v>
          </cell>
          <cell r="U203" t="str">
            <v>seratus Sembilan puluh Enam</v>
          </cell>
          <cell r="V203" t="str">
            <v xml:space="preserve">ribu </v>
          </cell>
          <cell r="W203" t="str">
            <v>ribu</v>
          </cell>
        </row>
        <row r="204">
          <cell r="T204">
            <v>197</v>
          </cell>
          <cell r="U204" t="str">
            <v>seratus Sembilan puluh Tujuh</v>
          </cell>
          <cell r="V204" t="str">
            <v xml:space="preserve">ribu </v>
          </cell>
          <cell r="W204" t="str">
            <v>ribu</v>
          </cell>
        </row>
        <row r="205">
          <cell r="T205">
            <v>198</v>
          </cell>
          <cell r="U205" t="str">
            <v>seratus Sembilan puluh Delapan</v>
          </cell>
          <cell r="V205" t="str">
            <v xml:space="preserve">ribu </v>
          </cell>
          <cell r="W205" t="str">
            <v>ribu</v>
          </cell>
        </row>
        <row r="206">
          <cell r="T206">
            <v>199</v>
          </cell>
          <cell r="U206" t="str">
            <v>seratus Sembilan puluh Sembilan</v>
          </cell>
          <cell r="V206" t="str">
            <v xml:space="preserve">ribu </v>
          </cell>
          <cell r="W206" t="str">
            <v>ribu</v>
          </cell>
        </row>
        <row r="207">
          <cell r="T207">
            <v>200</v>
          </cell>
          <cell r="U207" t="str">
            <v xml:space="preserve">Dua ratus </v>
          </cell>
          <cell r="V207" t="str">
            <v xml:space="preserve">ribu </v>
          </cell>
          <cell r="W207" t="str">
            <v>ribu</v>
          </cell>
        </row>
        <row r="208">
          <cell r="T208">
            <v>201</v>
          </cell>
          <cell r="U208" t="str">
            <v>Dua ratus Satu</v>
          </cell>
          <cell r="V208" t="str">
            <v xml:space="preserve">ribu </v>
          </cell>
          <cell r="W208" t="str">
            <v>ribu</v>
          </cell>
        </row>
        <row r="209">
          <cell r="T209">
            <v>202</v>
          </cell>
          <cell r="U209" t="str">
            <v>Dua ratus Dua</v>
          </cell>
          <cell r="V209" t="str">
            <v xml:space="preserve">ribu </v>
          </cell>
          <cell r="W209" t="str">
            <v>ribu</v>
          </cell>
        </row>
        <row r="210">
          <cell r="T210">
            <v>203</v>
          </cell>
          <cell r="U210" t="str">
            <v>Dua ratus Tiga</v>
          </cell>
          <cell r="V210" t="str">
            <v xml:space="preserve">ribu </v>
          </cell>
          <cell r="W210" t="str">
            <v>ribu</v>
          </cell>
        </row>
        <row r="211">
          <cell r="T211">
            <v>204</v>
          </cell>
          <cell r="U211" t="str">
            <v>Dua ratus Empat</v>
          </cell>
          <cell r="V211" t="str">
            <v xml:space="preserve">ribu </v>
          </cell>
          <cell r="W211" t="str">
            <v>ribu</v>
          </cell>
        </row>
        <row r="212">
          <cell r="T212">
            <v>205</v>
          </cell>
          <cell r="U212" t="str">
            <v>Dua ratus Lima</v>
          </cell>
          <cell r="V212" t="str">
            <v xml:space="preserve">ribu </v>
          </cell>
          <cell r="W212" t="str">
            <v>ribu</v>
          </cell>
        </row>
        <row r="213">
          <cell r="T213">
            <v>206</v>
          </cell>
          <cell r="U213" t="str">
            <v>Dua ratus Enam</v>
          </cell>
          <cell r="V213" t="str">
            <v xml:space="preserve">ribu </v>
          </cell>
          <cell r="W213" t="str">
            <v>ribu</v>
          </cell>
        </row>
        <row r="214">
          <cell r="T214">
            <v>207</v>
          </cell>
          <cell r="U214" t="str">
            <v>Dua ratus Tujuh</v>
          </cell>
          <cell r="V214" t="str">
            <v xml:space="preserve">ribu </v>
          </cell>
          <cell r="W214" t="str">
            <v>ribu</v>
          </cell>
        </row>
        <row r="215">
          <cell r="T215">
            <v>208</v>
          </cell>
          <cell r="U215" t="str">
            <v>Dua ratus Delapan</v>
          </cell>
          <cell r="V215" t="str">
            <v xml:space="preserve">ribu </v>
          </cell>
          <cell r="W215" t="str">
            <v>ribu</v>
          </cell>
        </row>
        <row r="216">
          <cell r="T216">
            <v>209</v>
          </cell>
          <cell r="U216" t="str">
            <v>Dua ratus Sembilan</v>
          </cell>
          <cell r="V216" t="str">
            <v xml:space="preserve">ribu </v>
          </cell>
          <cell r="W216" t="str">
            <v>ribu</v>
          </cell>
        </row>
        <row r="217">
          <cell r="T217">
            <v>210</v>
          </cell>
          <cell r="U217" t="str">
            <v>Dua ratus Sepuluh</v>
          </cell>
          <cell r="V217" t="str">
            <v xml:space="preserve">ribu </v>
          </cell>
          <cell r="W217" t="str">
            <v>ribu</v>
          </cell>
        </row>
        <row r="218">
          <cell r="T218">
            <v>211</v>
          </cell>
          <cell r="U218" t="str">
            <v>Dua ratus Sebelas</v>
          </cell>
          <cell r="V218" t="str">
            <v xml:space="preserve">ribu </v>
          </cell>
          <cell r="W218" t="str">
            <v>ribu</v>
          </cell>
        </row>
        <row r="219">
          <cell r="T219">
            <v>212</v>
          </cell>
          <cell r="U219" t="str">
            <v>Dua ratus Dua belas</v>
          </cell>
          <cell r="V219" t="str">
            <v xml:space="preserve">ribu </v>
          </cell>
          <cell r="W219" t="str">
            <v>ribu</v>
          </cell>
        </row>
        <row r="220">
          <cell r="T220">
            <v>213</v>
          </cell>
          <cell r="U220" t="str">
            <v>Dua ratus Tiga belas</v>
          </cell>
          <cell r="V220" t="str">
            <v xml:space="preserve">ribu </v>
          </cell>
          <cell r="W220" t="str">
            <v>ribu</v>
          </cell>
        </row>
        <row r="221">
          <cell r="T221">
            <v>214</v>
          </cell>
          <cell r="U221" t="str">
            <v>Dua ratus Empat belas</v>
          </cell>
          <cell r="V221" t="str">
            <v xml:space="preserve">ribu </v>
          </cell>
          <cell r="W221" t="str">
            <v>ribu</v>
          </cell>
        </row>
        <row r="222">
          <cell r="T222">
            <v>215</v>
          </cell>
          <cell r="U222" t="str">
            <v>Dua ratus Lima belas</v>
          </cell>
          <cell r="V222" t="str">
            <v xml:space="preserve">ribu </v>
          </cell>
          <cell r="W222" t="str">
            <v>ribu</v>
          </cell>
        </row>
        <row r="223">
          <cell r="T223">
            <v>216</v>
          </cell>
          <cell r="U223" t="str">
            <v>Dua ratus Enam belas</v>
          </cell>
          <cell r="V223" t="str">
            <v xml:space="preserve">ribu </v>
          </cell>
          <cell r="W223" t="str">
            <v>ribu</v>
          </cell>
        </row>
        <row r="224">
          <cell r="T224">
            <v>217</v>
          </cell>
          <cell r="U224" t="str">
            <v>Dua ratus Tujuh belas</v>
          </cell>
          <cell r="V224" t="str">
            <v xml:space="preserve">ribu </v>
          </cell>
          <cell r="W224" t="str">
            <v>ribu</v>
          </cell>
        </row>
        <row r="225">
          <cell r="T225">
            <v>218</v>
          </cell>
          <cell r="U225" t="str">
            <v>Dua ratus Delapan belas</v>
          </cell>
          <cell r="V225" t="str">
            <v xml:space="preserve">ribu </v>
          </cell>
          <cell r="W225" t="str">
            <v>ribu</v>
          </cell>
        </row>
        <row r="226">
          <cell r="T226">
            <v>219</v>
          </cell>
          <cell r="U226" t="str">
            <v>Dua ratus Sembilan belas</v>
          </cell>
          <cell r="V226" t="str">
            <v xml:space="preserve">ribu </v>
          </cell>
          <cell r="W226" t="str">
            <v>ribu</v>
          </cell>
        </row>
        <row r="227">
          <cell r="T227">
            <v>220</v>
          </cell>
          <cell r="U227" t="str">
            <v xml:space="preserve">Dua ratus Dua puluh </v>
          </cell>
          <cell r="V227" t="str">
            <v xml:space="preserve">ribu </v>
          </cell>
          <cell r="W227" t="str">
            <v>ribu</v>
          </cell>
        </row>
        <row r="228">
          <cell r="T228">
            <v>221</v>
          </cell>
          <cell r="U228" t="str">
            <v>Dua ratus Dua puluh Satu</v>
          </cell>
          <cell r="V228" t="str">
            <v xml:space="preserve">ribu </v>
          </cell>
          <cell r="W228" t="str">
            <v>ribu</v>
          </cell>
        </row>
        <row r="229">
          <cell r="T229">
            <v>222</v>
          </cell>
          <cell r="U229" t="str">
            <v>Dua ratus Dua puluh Dua</v>
          </cell>
          <cell r="V229" t="str">
            <v xml:space="preserve">ribu </v>
          </cell>
          <cell r="W229" t="str">
            <v>ribu</v>
          </cell>
        </row>
        <row r="230">
          <cell r="T230">
            <v>223</v>
          </cell>
          <cell r="U230" t="str">
            <v>Dua ratus Dua puluh Tiga</v>
          </cell>
          <cell r="V230" t="str">
            <v xml:space="preserve">ribu </v>
          </cell>
          <cell r="W230" t="str">
            <v>ribu</v>
          </cell>
        </row>
        <row r="231">
          <cell r="T231">
            <v>224</v>
          </cell>
          <cell r="U231" t="str">
            <v>Dua ratus Dua puluh Empat</v>
          </cell>
          <cell r="V231" t="str">
            <v xml:space="preserve">ribu </v>
          </cell>
          <cell r="W231" t="str">
            <v>ribu</v>
          </cell>
        </row>
        <row r="232">
          <cell r="T232">
            <v>225</v>
          </cell>
          <cell r="U232" t="str">
            <v>Dua ratus Dua puluh Lima</v>
          </cell>
          <cell r="V232" t="str">
            <v xml:space="preserve">ribu </v>
          </cell>
          <cell r="W232" t="str">
            <v>ribu</v>
          </cell>
        </row>
        <row r="233">
          <cell r="T233">
            <v>226</v>
          </cell>
          <cell r="U233" t="str">
            <v>Dua ratus Dua puluh Enam</v>
          </cell>
          <cell r="V233" t="str">
            <v xml:space="preserve">ribu </v>
          </cell>
          <cell r="W233" t="str">
            <v>ribu</v>
          </cell>
        </row>
        <row r="234">
          <cell r="T234">
            <v>227</v>
          </cell>
          <cell r="U234" t="str">
            <v>Dua ratus Dua puluh Tujuh</v>
          </cell>
          <cell r="V234" t="str">
            <v xml:space="preserve">ribu </v>
          </cell>
          <cell r="W234" t="str">
            <v>ribu</v>
          </cell>
        </row>
        <row r="235">
          <cell r="T235">
            <v>228</v>
          </cell>
          <cell r="U235" t="str">
            <v>Dua ratus Dua puluh Delapan</v>
          </cell>
          <cell r="V235" t="str">
            <v xml:space="preserve">ribu </v>
          </cell>
          <cell r="W235" t="str">
            <v>ribu</v>
          </cell>
        </row>
        <row r="236">
          <cell r="T236">
            <v>229</v>
          </cell>
          <cell r="U236" t="str">
            <v>Dua ratus Dua puluh Sembilan</v>
          </cell>
          <cell r="V236" t="str">
            <v xml:space="preserve">ribu </v>
          </cell>
          <cell r="W236" t="str">
            <v>ribu</v>
          </cell>
        </row>
        <row r="237">
          <cell r="T237">
            <v>230</v>
          </cell>
          <cell r="U237" t="str">
            <v xml:space="preserve">Dua ratus Tiga puluh </v>
          </cell>
          <cell r="V237" t="str">
            <v xml:space="preserve">ribu </v>
          </cell>
          <cell r="W237" t="str">
            <v>ribu</v>
          </cell>
        </row>
        <row r="238">
          <cell r="T238">
            <v>231</v>
          </cell>
          <cell r="U238" t="str">
            <v>Dua ratus Tiga puluh Satu</v>
          </cell>
          <cell r="V238" t="str">
            <v xml:space="preserve">ribu </v>
          </cell>
          <cell r="W238" t="str">
            <v>ribu</v>
          </cell>
        </row>
        <row r="239">
          <cell r="T239">
            <v>232</v>
          </cell>
          <cell r="U239" t="str">
            <v>Dua ratus Tiga puluh Dua</v>
          </cell>
          <cell r="V239" t="str">
            <v xml:space="preserve">ribu </v>
          </cell>
          <cell r="W239" t="str">
            <v>ribu</v>
          </cell>
        </row>
        <row r="240">
          <cell r="T240">
            <v>233</v>
          </cell>
          <cell r="U240" t="str">
            <v>Dua ratus Tiga puluh Tiga</v>
          </cell>
          <cell r="V240" t="str">
            <v xml:space="preserve">ribu </v>
          </cell>
          <cell r="W240" t="str">
            <v>ribu</v>
          </cell>
        </row>
        <row r="241">
          <cell r="T241">
            <v>234</v>
          </cell>
          <cell r="U241" t="str">
            <v>Dua ratus Tiga puluh Empat</v>
          </cell>
          <cell r="V241" t="str">
            <v xml:space="preserve">ribu </v>
          </cell>
          <cell r="W241" t="str">
            <v>ribu</v>
          </cell>
        </row>
        <row r="242">
          <cell r="T242">
            <v>235</v>
          </cell>
          <cell r="U242" t="str">
            <v>Dua ratus Tiga puluh Lima</v>
          </cell>
          <cell r="V242" t="str">
            <v xml:space="preserve">ribu </v>
          </cell>
          <cell r="W242" t="str">
            <v>ribu</v>
          </cell>
        </row>
        <row r="243">
          <cell r="T243">
            <v>236</v>
          </cell>
          <cell r="U243" t="str">
            <v>Dua ratus Tiga puluh Enam</v>
          </cell>
          <cell r="V243" t="str">
            <v xml:space="preserve">ribu </v>
          </cell>
          <cell r="W243" t="str">
            <v>ribu</v>
          </cell>
        </row>
        <row r="244">
          <cell r="T244">
            <v>237</v>
          </cell>
          <cell r="U244" t="str">
            <v>Dua ratus Tiga puluh Tujuh</v>
          </cell>
          <cell r="V244" t="str">
            <v xml:space="preserve">ribu </v>
          </cell>
          <cell r="W244" t="str">
            <v>ribu</v>
          </cell>
        </row>
        <row r="245">
          <cell r="T245">
            <v>238</v>
          </cell>
          <cell r="U245" t="str">
            <v>Dua ratus Tiga puluh Delapan</v>
          </cell>
          <cell r="V245" t="str">
            <v xml:space="preserve">ribu </v>
          </cell>
          <cell r="W245" t="str">
            <v>ribu</v>
          </cell>
        </row>
        <row r="246">
          <cell r="T246">
            <v>239</v>
          </cell>
          <cell r="U246" t="str">
            <v>Dua ratus Tiga puluh Sembilan</v>
          </cell>
          <cell r="V246" t="str">
            <v xml:space="preserve">ribu </v>
          </cell>
          <cell r="W246" t="str">
            <v>ribu</v>
          </cell>
        </row>
        <row r="247">
          <cell r="T247">
            <v>240</v>
          </cell>
          <cell r="U247" t="str">
            <v xml:space="preserve">Dua ratus Empat puluh </v>
          </cell>
          <cell r="V247" t="str">
            <v xml:space="preserve">ribu </v>
          </cell>
          <cell r="W247" t="str">
            <v>ribu</v>
          </cell>
        </row>
        <row r="248">
          <cell r="T248">
            <v>241</v>
          </cell>
          <cell r="U248" t="str">
            <v>Dua ratus Empat puluh Satu</v>
          </cell>
          <cell r="V248" t="str">
            <v xml:space="preserve">ribu </v>
          </cell>
          <cell r="W248" t="str">
            <v>ribu</v>
          </cell>
        </row>
        <row r="249">
          <cell r="T249">
            <v>242</v>
          </cell>
          <cell r="U249" t="str">
            <v>Dua ratus Empat puluh Dua</v>
          </cell>
          <cell r="V249" t="str">
            <v xml:space="preserve">ribu </v>
          </cell>
          <cell r="W249" t="str">
            <v>ribu</v>
          </cell>
        </row>
        <row r="250">
          <cell r="T250">
            <v>243</v>
          </cell>
          <cell r="U250" t="str">
            <v>Dua ratus Empat puluh Tiga</v>
          </cell>
          <cell r="V250" t="str">
            <v xml:space="preserve">ribu </v>
          </cell>
          <cell r="W250" t="str">
            <v>ribu</v>
          </cell>
        </row>
        <row r="251">
          <cell r="T251">
            <v>244</v>
          </cell>
          <cell r="U251" t="str">
            <v>Dua ratus Empat puluh Empat</v>
          </cell>
          <cell r="V251" t="str">
            <v xml:space="preserve">ribu </v>
          </cell>
          <cell r="W251" t="str">
            <v>ribu</v>
          </cell>
        </row>
        <row r="252">
          <cell r="T252">
            <v>245</v>
          </cell>
          <cell r="U252" t="str">
            <v>Dua ratus Empat puluh Lima</v>
          </cell>
          <cell r="V252" t="str">
            <v xml:space="preserve">ribu </v>
          </cell>
          <cell r="W252" t="str">
            <v>ribu</v>
          </cell>
        </row>
        <row r="253">
          <cell r="T253">
            <v>246</v>
          </cell>
          <cell r="U253" t="str">
            <v>Dua ratus Empat puluh Enam</v>
          </cell>
          <cell r="V253" t="str">
            <v xml:space="preserve">ribu </v>
          </cell>
          <cell r="W253" t="str">
            <v>ribu</v>
          </cell>
        </row>
        <row r="254">
          <cell r="T254">
            <v>247</v>
          </cell>
          <cell r="U254" t="str">
            <v>Dua ratus Empat puluh Tujuh</v>
          </cell>
          <cell r="V254" t="str">
            <v xml:space="preserve">ribu </v>
          </cell>
          <cell r="W254" t="str">
            <v>ribu</v>
          </cell>
        </row>
        <row r="255">
          <cell r="T255">
            <v>248</v>
          </cell>
          <cell r="U255" t="str">
            <v>Dua ratus Empat puluh Delapan</v>
          </cell>
          <cell r="V255" t="str">
            <v xml:space="preserve">ribu </v>
          </cell>
          <cell r="W255" t="str">
            <v>ribu</v>
          </cell>
        </row>
        <row r="256">
          <cell r="T256">
            <v>249</v>
          </cell>
          <cell r="U256" t="str">
            <v>Dua ratus Empat puluh Sembilan</v>
          </cell>
          <cell r="V256" t="str">
            <v xml:space="preserve">ribu </v>
          </cell>
          <cell r="W256" t="str">
            <v>ribu</v>
          </cell>
        </row>
        <row r="257">
          <cell r="T257">
            <v>250</v>
          </cell>
          <cell r="U257" t="str">
            <v xml:space="preserve">Dua ratus Lima puluh </v>
          </cell>
          <cell r="V257" t="str">
            <v xml:space="preserve">ribu </v>
          </cell>
          <cell r="W257" t="str">
            <v>ribu</v>
          </cell>
        </row>
        <row r="258">
          <cell r="T258">
            <v>251</v>
          </cell>
          <cell r="U258" t="str">
            <v>Dua ratus Lima puluh Satu</v>
          </cell>
          <cell r="V258" t="str">
            <v xml:space="preserve">ribu </v>
          </cell>
          <cell r="W258" t="str">
            <v>ribu</v>
          </cell>
        </row>
        <row r="259">
          <cell r="T259">
            <v>252</v>
          </cell>
          <cell r="U259" t="str">
            <v>Dua ratus Lima puluh Dua</v>
          </cell>
          <cell r="V259" t="str">
            <v xml:space="preserve">ribu </v>
          </cell>
          <cell r="W259" t="str">
            <v>ribu</v>
          </cell>
        </row>
        <row r="260">
          <cell r="T260">
            <v>253</v>
          </cell>
          <cell r="U260" t="str">
            <v>Dua ratus Lima puluh Tiga</v>
          </cell>
          <cell r="V260" t="str">
            <v xml:space="preserve">ribu </v>
          </cell>
          <cell r="W260" t="str">
            <v>ribu</v>
          </cell>
        </row>
        <row r="261">
          <cell r="T261">
            <v>254</v>
          </cell>
          <cell r="U261" t="str">
            <v>Dua ratus Lima puluh Empat</v>
          </cell>
          <cell r="V261" t="str">
            <v xml:space="preserve">ribu </v>
          </cell>
          <cell r="W261" t="str">
            <v>ribu</v>
          </cell>
        </row>
        <row r="262">
          <cell r="T262">
            <v>255</v>
          </cell>
          <cell r="U262" t="str">
            <v>Dua ratus Lima puluh Lima</v>
          </cell>
          <cell r="V262" t="str">
            <v xml:space="preserve">ribu </v>
          </cell>
          <cell r="W262" t="str">
            <v>ribu</v>
          </cell>
        </row>
        <row r="263">
          <cell r="T263">
            <v>256</v>
          </cell>
          <cell r="U263" t="str">
            <v>Dua ratus Lima puluh Enam</v>
          </cell>
          <cell r="V263" t="str">
            <v xml:space="preserve">ribu </v>
          </cell>
          <cell r="W263" t="str">
            <v>ribu</v>
          </cell>
        </row>
        <row r="264">
          <cell r="T264">
            <v>257</v>
          </cell>
          <cell r="U264" t="str">
            <v>Dua ratus Lima puluh Tujuh</v>
          </cell>
          <cell r="V264" t="str">
            <v xml:space="preserve">ribu </v>
          </cell>
          <cell r="W264" t="str">
            <v>ribu</v>
          </cell>
        </row>
        <row r="265">
          <cell r="T265">
            <v>258</v>
          </cell>
          <cell r="U265" t="str">
            <v>Dua ratus Lima puluh Delapan</v>
          </cell>
          <cell r="V265" t="str">
            <v xml:space="preserve">ribu </v>
          </cell>
          <cell r="W265" t="str">
            <v>ribu</v>
          </cell>
        </row>
        <row r="266">
          <cell r="T266">
            <v>259</v>
          </cell>
          <cell r="U266" t="str">
            <v>Dua ratus Lima puluh Sembilan</v>
          </cell>
          <cell r="V266" t="str">
            <v xml:space="preserve">ribu </v>
          </cell>
          <cell r="W266" t="str">
            <v>ribu</v>
          </cell>
        </row>
        <row r="267">
          <cell r="T267">
            <v>260</v>
          </cell>
          <cell r="U267" t="str">
            <v xml:space="preserve">Dua ratus Enam puluh </v>
          </cell>
          <cell r="V267" t="str">
            <v xml:space="preserve">ribu </v>
          </cell>
          <cell r="W267" t="str">
            <v>ribu</v>
          </cell>
        </row>
        <row r="268">
          <cell r="T268">
            <v>261</v>
          </cell>
          <cell r="U268" t="str">
            <v>Dua ratus Enam puluh Satu</v>
          </cell>
          <cell r="V268" t="str">
            <v xml:space="preserve">ribu </v>
          </cell>
          <cell r="W268" t="str">
            <v>ribu</v>
          </cell>
        </row>
        <row r="269">
          <cell r="T269">
            <v>262</v>
          </cell>
          <cell r="U269" t="str">
            <v>Dua ratus Enam puluh Dua</v>
          </cell>
          <cell r="V269" t="str">
            <v xml:space="preserve">ribu </v>
          </cell>
          <cell r="W269" t="str">
            <v>ribu</v>
          </cell>
        </row>
        <row r="270">
          <cell r="T270">
            <v>263</v>
          </cell>
          <cell r="U270" t="str">
            <v>Dua ratus Enam puluh Tiga</v>
          </cell>
          <cell r="V270" t="str">
            <v xml:space="preserve">ribu </v>
          </cell>
          <cell r="W270" t="str">
            <v>ribu</v>
          </cell>
        </row>
        <row r="271">
          <cell r="T271">
            <v>264</v>
          </cell>
          <cell r="U271" t="str">
            <v>Dua ratus Enam puluh Empat</v>
          </cell>
          <cell r="V271" t="str">
            <v xml:space="preserve">ribu </v>
          </cell>
          <cell r="W271" t="str">
            <v>ribu</v>
          </cell>
        </row>
        <row r="272">
          <cell r="T272">
            <v>265</v>
          </cell>
          <cell r="U272" t="str">
            <v>Dua ratus Enam puluh Lima</v>
          </cell>
          <cell r="V272" t="str">
            <v xml:space="preserve">ribu </v>
          </cell>
          <cell r="W272" t="str">
            <v>ribu</v>
          </cell>
        </row>
        <row r="273">
          <cell r="T273">
            <v>266</v>
          </cell>
          <cell r="U273" t="str">
            <v>Dua ratus Enam puluh Enam</v>
          </cell>
          <cell r="V273" t="str">
            <v xml:space="preserve">ribu </v>
          </cell>
          <cell r="W273" t="str">
            <v>ribu</v>
          </cell>
        </row>
        <row r="274">
          <cell r="T274">
            <v>267</v>
          </cell>
          <cell r="U274" t="str">
            <v>Dua ratus Enam puluh Tujuh</v>
          </cell>
          <cell r="V274" t="str">
            <v xml:space="preserve">ribu </v>
          </cell>
          <cell r="W274" t="str">
            <v>ribu</v>
          </cell>
        </row>
        <row r="275">
          <cell r="T275">
            <v>268</v>
          </cell>
          <cell r="U275" t="str">
            <v>Dua ratus Enam puluh Delapan</v>
          </cell>
          <cell r="V275" t="str">
            <v xml:space="preserve">ribu </v>
          </cell>
          <cell r="W275" t="str">
            <v>ribu</v>
          </cell>
        </row>
        <row r="276">
          <cell r="T276">
            <v>269</v>
          </cell>
          <cell r="U276" t="str">
            <v>Dua ratus Enam puluh Sembilan</v>
          </cell>
          <cell r="V276" t="str">
            <v xml:space="preserve">ribu </v>
          </cell>
          <cell r="W276" t="str">
            <v>ribu</v>
          </cell>
        </row>
        <row r="277">
          <cell r="T277">
            <v>270</v>
          </cell>
          <cell r="U277" t="str">
            <v xml:space="preserve">Dua ratus Tujuh puluh </v>
          </cell>
          <cell r="V277" t="str">
            <v xml:space="preserve">ribu </v>
          </cell>
          <cell r="W277" t="str">
            <v>ribu</v>
          </cell>
        </row>
        <row r="278">
          <cell r="T278">
            <v>271</v>
          </cell>
          <cell r="U278" t="str">
            <v>Dua ratus Tujuh puluh Satu</v>
          </cell>
          <cell r="V278" t="str">
            <v xml:space="preserve">ribu </v>
          </cell>
          <cell r="W278" t="str">
            <v>ribu</v>
          </cell>
        </row>
        <row r="279">
          <cell r="T279">
            <v>272</v>
          </cell>
          <cell r="U279" t="str">
            <v>Dua ratus Tujuh puluh Dua</v>
          </cell>
          <cell r="V279" t="str">
            <v xml:space="preserve">ribu </v>
          </cell>
          <cell r="W279" t="str">
            <v>ribu</v>
          </cell>
        </row>
        <row r="280">
          <cell r="T280">
            <v>273</v>
          </cell>
          <cell r="U280" t="str">
            <v>Dua ratus Tujuh puluh Tiga</v>
          </cell>
          <cell r="V280" t="str">
            <v xml:space="preserve">ribu </v>
          </cell>
          <cell r="W280" t="str">
            <v>ribu</v>
          </cell>
        </row>
        <row r="281">
          <cell r="T281">
            <v>274</v>
          </cell>
          <cell r="U281" t="str">
            <v>Dua ratus Tujuh puluh Empat</v>
          </cell>
          <cell r="V281" t="str">
            <v xml:space="preserve">ribu </v>
          </cell>
          <cell r="W281" t="str">
            <v>ribu</v>
          </cell>
        </row>
        <row r="282">
          <cell r="T282">
            <v>275</v>
          </cell>
          <cell r="U282" t="str">
            <v>Dua ratus Tujuh puluh Lima</v>
          </cell>
          <cell r="V282" t="str">
            <v xml:space="preserve">ribu </v>
          </cell>
          <cell r="W282" t="str">
            <v>ribu</v>
          </cell>
        </row>
        <row r="283">
          <cell r="T283">
            <v>276</v>
          </cell>
          <cell r="U283" t="str">
            <v>Dua ratus Tujuh puluh Enam</v>
          </cell>
          <cell r="V283" t="str">
            <v xml:space="preserve">ribu </v>
          </cell>
          <cell r="W283" t="str">
            <v>ribu</v>
          </cell>
        </row>
        <row r="284">
          <cell r="T284">
            <v>277</v>
          </cell>
          <cell r="U284" t="str">
            <v>Dua ratus Tujuh puluh Tujuh</v>
          </cell>
          <cell r="V284" t="str">
            <v xml:space="preserve">ribu </v>
          </cell>
          <cell r="W284" t="str">
            <v>ribu</v>
          </cell>
        </row>
        <row r="285">
          <cell r="T285">
            <v>278</v>
          </cell>
          <cell r="U285" t="str">
            <v>Dua ratus Tujuh puluh Delapan</v>
          </cell>
          <cell r="V285" t="str">
            <v xml:space="preserve">ribu </v>
          </cell>
          <cell r="W285" t="str">
            <v>ribu</v>
          </cell>
        </row>
        <row r="286">
          <cell r="T286">
            <v>279</v>
          </cell>
          <cell r="U286" t="str">
            <v>Dua ratus Tujuh puluh Sembilan</v>
          </cell>
          <cell r="V286" t="str">
            <v xml:space="preserve">ribu </v>
          </cell>
          <cell r="W286" t="str">
            <v>ribu</v>
          </cell>
        </row>
        <row r="287">
          <cell r="T287">
            <v>280</v>
          </cell>
          <cell r="U287" t="str">
            <v xml:space="preserve">Dua ratus Delapan puluh </v>
          </cell>
          <cell r="V287" t="str">
            <v xml:space="preserve">ribu </v>
          </cell>
          <cell r="W287" t="str">
            <v>ribu</v>
          </cell>
        </row>
        <row r="288">
          <cell r="T288">
            <v>281</v>
          </cell>
          <cell r="U288" t="str">
            <v>Dua ratus Delapan puluh Satu</v>
          </cell>
          <cell r="V288" t="str">
            <v xml:space="preserve">ribu </v>
          </cell>
          <cell r="W288" t="str">
            <v>ribu</v>
          </cell>
        </row>
        <row r="289">
          <cell r="T289">
            <v>282</v>
          </cell>
          <cell r="U289" t="str">
            <v>Dua ratus Delapan puluh Dua</v>
          </cell>
          <cell r="V289" t="str">
            <v xml:space="preserve">ribu </v>
          </cell>
          <cell r="W289" t="str">
            <v>ribu</v>
          </cell>
        </row>
        <row r="290">
          <cell r="T290">
            <v>283</v>
          </cell>
          <cell r="U290" t="str">
            <v>Dua ratus Delapan puluh Tiga</v>
          </cell>
          <cell r="V290" t="str">
            <v xml:space="preserve">ribu </v>
          </cell>
          <cell r="W290" t="str">
            <v>ribu</v>
          </cell>
        </row>
        <row r="291">
          <cell r="T291">
            <v>284</v>
          </cell>
          <cell r="U291" t="str">
            <v>Dua ratus Delapan puluh Empat</v>
          </cell>
          <cell r="V291" t="str">
            <v xml:space="preserve">ribu </v>
          </cell>
          <cell r="W291" t="str">
            <v>ribu</v>
          </cell>
        </row>
        <row r="292">
          <cell r="T292">
            <v>285</v>
          </cell>
          <cell r="U292" t="str">
            <v>Dua ratus Delapan puluh Lima</v>
          </cell>
          <cell r="V292" t="str">
            <v xml:space="preserve">ribu </v>
          </cell>
          <cell r="W292" t="str">
            <v>ribu</v>
          </cell>
        </row>
        <row r="293">
          <cell r="T293">
            <v>286</v>
          </cell>
          <cell r="U293" t="str">
            <v>Dua ratus Delapan puluh Enam</v>
          </cell>
          <cell r="V293" t="str">
            <v xml:space="preserve">ribu </v>
          </cell>
          <cell r="W293" t="str">
            <v>ribu</v>
          </cell>
        </row>
        <row r="294">
          <cell r="T294">
            <v>287</v>
          </cell>
          <cell r="U294" t="str">
            <v>Dua ratus Delapan puluh Tujuh</v>
          </cell>
          <cell r="V294" t="str">
            <v xml:space="preserve">ribu </v>
          </cell>
          <cell r="W294" t="str">
            <v>ribu</v>
          </cell>
        </row>
        <row r="295">
          <cell r="T295">
            <v>288</v>
          </cell>
          <cell r="U295" t="str">
            <v>Dua ratus Delapan puluh Delapan</v>
          </cell>
          <cell r="V295" t="str">
            <v xml:space="preserve">ribu </v>
          </cell>
          <cell r="W295" t="str">
            <v>ribu</v>
          </cell>
        </row>
        <row r="296">
          <cell r="T296">
            <v>289</v>
          </cell>
          <cell r="U296" t="str">
            <v>Dua ratus Delapan puluh Sembilan</v>
          </cell>
          <cell r="V296" t="str">
            <v xml:space="preserve">ribu </v>
          </cell>
          <cell r="W296" t="str">
            <v>ribu</v>
          </cell>
        </row>
        <row r="297">
          <cell r="T297">
            <v>290</v>
          </cell>
          <cell r="U297" t="str">
            <v xml:space="preserve">Dua ratus Sembilan puluh </v>
          </cell>
          <cell r="V297" t="str">
            <v xml:space="preserve">ribu </v>
          </cell>
          <cell r="W297" t="str">
            <v>ribu</v>
          </cell>
        </row>
        <row r="298">
          <cell r="T298">
            <v>291</v>
          </cell>
          <cell r="U298" t="str">
            <v>Dua ratus Sembilan puluh Satu</v>
          </cell>
          <cell r="V298" t="str">
            <v xml:space="preserve">ribu </v>
          </cell>
          <cell r="W298" t="str">
            <v>ribu</v>
          </cell>
        </row>
        <row r="299">
          <cell r="T299">
            <v>292</v>
          </cell>
          <cell r="U299" t="str">
            <v>Dua ratus Sembilan puluh Dua</v>
          </cell>
          <cell r="V299" t="str">
            <v xml:space="preserve">ribu </v>
          </cell>
          <cell r="W299" t="str">
            <v>ribu</v>
          </cell>
        </row>
        <row r="300">
          <cell r="T300">
            <v>293</v>
          </cell>
          <cell r="U300" t="str">
            <v>Dua ratus Sembilan puluh Tiga</v>
          </cell>
          <cell r="V300" t="str">
            <v xml:space="preserve">ribu </v>
          </cell>
          <cell r="W300" t="str">
            <v>ribu</v>
          </cell>
        </row>
        <row r="301">
          <cell r="T301">
            <v>294</v>
          </cell>
          <cell r="U301" t="str">
            <v>Dua ratus Sembilan puluh Empat</v>
          </cell>
          <cell r="V301" t="str">
            <v xml:space="preserve">ribu </v>
          </cell>
          <cell r="W301" t="str">
            <v>ribu</v>
          </cell>
        </row>
        <row r="302">
          <cell r="T302">
            <v>295</v>
          </cell>
          <cell r="U302" t="str">
            <v>Dua ratus Sembilan puluh Lima</v>
          </cell>
          <cell r="V302" t="str">
            <v xml:space="preserve">ribu </v>
          </cell>
          <cell r="W302" t="str">
            <v>ribu</v>
          </cell>
        </row>
        <row r="303">
          <cell r="T303">
            <v>296</v>
          </cell>
          <cell r="U303" t="str">
            <v>Dua ratus Sembilan puluh Enam</v>
          </cell>
          <cell r="V303" t="str">
            <v xml:space="preserve">ribu </v>
          </cell>
          <cell r="W303" t="str">
            <v>ribu</v>
          </cell>
        </row>
        <row r="304">
          <cell r="T304">
            <v>297</v>
          </cell>
          <cell r="U304" t="str">
            <v>Dua ratus Sembilan puluh Tujuh</v>
          </cell>
          <cell r="V304" t="str">
            <v xml:space="preserve">ribu </v>
          </cell>
          <cell r="W304" t="str">
            <v>ribu</v>
          </cell>
        </row>
        <row r="305">
          <cell r="T305">
            <v>298</v>
          </cell>
          <cell r="U305" t="str">
            <v>Dua ratus Sembilan puluh Delapan</v>
          </cell>
          <cell r="V305" t="str">
            <v xml:space="preserve">ribu </v>
          </cell>
          <cell r="W305" t="str">
            <v>ribu</v>
          </cell>
        </row>
        <row r="306">
          <cell r="T306">
            <v>299</v>
          </cell>
          <cell r="U306" t="str">
            <v>Dua ratus Sembilan puluh Sembilan</v>
          </cell>
          <cell r="V306" t="str">
            <v xml:space="preserve">ribu </v>
          </cell>
          <cell r="W306" t="str">
            <v>ribu</v>
          </cell>
        </row>
        <row r="307">
          <cell r="T307">
            <v>300</v>
          </cell>
          <cell r="U307" t="str">
            <v xml:space="preserve">Tiga ratus </v>
          </cell>
          <cell r="V307" t="str">
            <v xml:space="preserve">ribu </v>
          </cell>
          <cell r="W307" t="str">
            <v>ribu</v>
          </cell>
        </row>
        <row r="308">
          <cell r="T308">
            <v>301</v>
          </cell>
          <cell r="U308" t="str">
            <v>Tiga ratus Satu</v>
          </cell>
          <cell r="V308" t="str">
            <v xml:space="preserve">ribu </v>
          </cell>
          <cell r="W308" t="str">
            <v>ribu</v>
          </cell>
        </row>
        <row r="309">
          <cell r="T309">
            <v>302</v>
          </cell>
          <cell r="U309" t="str">
            <v>Tiga ratus Dua</v>
          </cell>
          <cell r="V309" t="str">
            <v xml:space="preserve">ribu </v>
          </cell>
          <cell r="W309" t="str">
            <v>ribu</v>
          </cell>
        </row>
        <row r="310">
          <cell r="T310">
            <v>303</v>
          </cell>
          <cell r="U310" t="str">
            <v>Tiga ratus Tiga</v>
          </cell>
          <cell r="V310" t="str">
            <v xml:space="preserve">ribu </v>
          </cell>
          <cell r="W310" t="str">
            <v>ribu</v>
          </cell>
        </row>
        <row r="311">
          <cell r="T311">
            <v>304</v>
          </cell>
          <cell r="U311" t="str">
            <v>Tiga ratus Empat</v>
          </cell>
          <cell r="V311" t="str">
            <v xml:space="preserve">ribu </v>
          </cell>
          <cell r="W311" t="str">
            <v>ribu</v>
          </cell>
        </row>
        <row r="312">
          <cell r="T312">
            <v>305</v>
          </cell>
          <cell r="U312" t="str">
            <v>Tiga ratus Lima</v>
          </cell>
          <cell r="V312" t="str">
            <v xml:space="preserve">ribu </v>
          </cell>
          <cell r="W312" t="str">
            <v>ribu</v>
          </cell>
        </row>
        <row r="313">
          <cell r="T313">
            <v>306</v>
          </cell>
          <cell r="U313" t="str">
            <v>Tiga ratus Enam</v>
          </cell>
          <cell r="V313" t="str">
            <v xml:space="preserve">ribu </v>
          </cell>
          <cell r="W313" t="str">
            <v>ribu</v>
          </cell>
        </row>
        <row r="314">
          <cell r="T314">
            <v>307</v>
          </cell>
          <cell r="U314" t="str">
            <v>Tiga ratus Tujuh</v>
          </cell>
          <cell r="V314" t="str">
            <v xml:space="preserve">ribu </v>
          </cell>
          <cell r="W314" t="str">
            <v>ribu</v>
          </cell>
        </row>
        <row r="315">
          <cell r="T315">
            <v>308</v>
          </cell>
          <cell r="U315" t="str">
            <v>Tiga ratus Delapan</v>
          </cell>
          <cell r="V315" t="str">
            <v xml:space="preserve">ribu </v>
          </cell>
          <cell r="W315" t="str">
            <v>ribu</v>
          </cell>
        </row>
        <row r="316">
          <cell r="T316">
            <v>309</v>
          </cell>
          <cell r="U316" t="str">
            <v>Tiga ratus Sembilan</v>
          </cell>
          <cell r="V316" t="str">
            <v xml:space="preserve">ribu </v>
          </cell>
          <cell r="W316" t="str">
            <v>ribu</v>
          </cell>
        </row>
        <row r="317">
          <cell r="T317">
            <v>310</v>
          </cell>
          <cell r="U317" t="str">
            <v>Tiga ratus Sepuluh</v>
          </cell>
          <cell r="V317" t="str">
            <v xml:space="preserve">ribu </v>
          </cell>
          <cell r="W317" t="str">
            <v>ribu</v>
          </cell>
        </row>
        <row r="318">
          <cell r="T318">
            <v>311</v>
          </cell>
          <cell r="U318" t="str">
            <v>Tiga ratus Sebelas</v>
          </cell>
          <cell r="V318" t="str">
            <v xml:space="preserve">ribu </v>
          </cell>
          <cell r="W318" t="str">
            <v>ribu</v>
          </cell>
        </row>
        <row r="319">
          <cell r="T319">
            <v>312</v>
          </cell>
          <cell r="U319" t="str">
            <v>Tiga ratus Dua belas</v>
          </cell>
          <cell r="V319" t="str">
            <v xml:space="preserve">ribu </v>
          </cell>
          <cell r="W319" t="str">
            <v>ribu</v>
          </cell>
        </row>
        <row r="320">
          <cell r="T320">
            <v>313</v>
          </cell>
          <cell r="U320" t="str">
            <v>Tiga ratus Tiga belas</v>
          </cell>
          <cell r="V320" t="str">
            <v xml:space="preserve">ribu </v>
          </cell>
          <cell r="W320" t="str">
            <v>ribu</v>
          </cell>
        </row>
        <row r="321">
          <cell r="T321">
            <v>314</v>
          </cell>
          <cell r="U321" t="str">
            <v>Tiga ratus Empat belas</v>
          </cell>
          <cell r="V321" t="str">
            <v xml:space="preserve">ribu </v>
          </cell>
          <cell r="W321" t="str">
            <v>ribu</v>
          </cell>
        </row>
        <row r="322">
          <cell r="T322">
            <v>315</v>
          </cell>
          <cell r="U322" t="str">
            <v>Tiga ratus Lima belas</v>
          </cell>
          <cell r="V322" t="str">
            <v xml:space="preserve">ribu </v>
          </cell>
          <cell r="W322" t="str">
            <v>ribu</v>
          </cell>
        </row>
        <row r="323">
          <cell r="T323">
            <v>316</v>
          </cell>
          <cell r="U323" t="str">
            <v>Tiga ratus Enam belas</v>
          </cell>
          <cell r="V323" t="str">
            <v xml:space="preserve">ribu </v>
          </cell>
          <cell r="W323" t="str">
            <v>ribu</v>
          </cell>
        </row>
        <row r="324">
          <cell r="T324">
            <v>317</v>
          </cell>
          <cell r="U324" t="str">
            <v>Tiga ratus Tujuh belas</v>
          </cell>
          <cell r="V324" t="str">
            <v xml:space="preserve">ribu </v>
          </cell>
          <cell r="W324" t="str">
            <v>ribu</v>
          </cell>
        </row>
        <row r="325">
          <cell r="T325">
            <v>318</v>
          </cell>
          <cell r="U325" t="str">
            <v>Tiga ratus Delapan belas</v>
          </cell>
          <cell r="V325" t="str">
            <v xml:space="preserve">ribu </v>
          </cell>
          <cell r="W325" t="str">
            <v>ribu</v>
          </cell>
        </row>
        <row r="326">
          <cell r="T326">
            <v>319</v>
          </cell>
          <cell r="U326" t="str">
            <v>Tiga ratus Sembilan belas</v>
          </cell>
          <cell r="V326" t="str">
            <v xml:space="preserve">ribu </v>
          </cell>
          <cell r="W326" t="str">
            <v>ribu</v>
          </cell>
        </row>
        <row r="327">
          <cell r="T327">
            <v>320</v>
          </cell>
          <cell r="U327" t="str">
            <v xml:space="preserve">Tiga ratus Dua puluh </v>
          </cell>
          <cell r="V327" t="str">
            <v xml:space="preserve">ribu </v>
          </cell>
          <cell r="W327" t="str">
            <v>ribu</v>
          </cell>
        </row>
        <row r="328">
          <cell r="T328">
            <v>321</v>
          </cell>
          <cell r="U328" t="str">
            <v>Tiga ratus Dua puluh Satu</v>
          </cell>
          <cell r="V328" t="str">
            <v xml:space="preserve">ribu </v>
          </cell>
          <cell r="W328" t="str">
            <v>ribu</v>
          </cell>
        </row>
        <row r="329">
          <cell r="T329">
            <v>322</v>
          </cell>
          <cell r="U329" t="str">
            <v>Tiga ratus Dua puluh Dua</v>
          </cell>
          <cell r="V329" t="str">
            <v xml:space="preserve">ribu </v>
          </cell>
          <cell r="W329" t="str">
            <v>ribu</v>
          </cell>
        </row>
        <row r="330">
          <cell r="T330">
            <v>323</v>
          </cell>
          <cell r="U330" t="str">
            <v>Tiga ratus Dua puluh Tiga</v>
          </cell>
          <cell r="V330" t="str">
            <v xml:space="preserve">ribu </v>
          </cell>
          <cell r="W330" t="str">
            <v>ribu</v>
          </cell>
        </row>
        <row r="331">
          <cell r="T331">
            <v>324</v>
          </cell>
          <cell r="U331" t="str">
            <v>Tiga ratus Dua puluh Empat</v>
          </cell>
          <cell r="V331" t="str">
            <v xml:space="preserve">ribu </v>
          </cell>
          <cell r="W331" t="str">
            <v>ribu</v>
          </cell>
        </row>
        <row r="332">
          <cell r="T332">
            <v>325</v>
          </cell>
          <cell r="U332" t="str">
            <v>Tiga ratus Dua puluh Lima</v>
          </cell>
          <cell r="V332" t="str">
            <v xml:space="preserve">ribu </v>
          </cell>
          <cell r="W332" t="str">
            <v>ribu</v>
          </cell>
        </row>
        <row r="333">
          <cell r="T333">
            <v>326</v>
          </cell>
          <cell r="U333" t="str">
            <v>Tiga ratus Dua puluh Enam</v>
          </cell>
          <cell r="V333" t="str">
            <v xml:space="preserve">ribu </v>
          </cell>
          <cell r="W333" t="str">
            <v>ribu</v>
          </cell>
        </row>
        <row r="334">
          <cell r="T334">
            <v>327</v>
          </cell>
          <cell r="U334" t="str">
            <v>Tiga ratus Dua puluh Tujuh</v>
          </cell>
          <cell r="V334" t="str">
            <v xml:space="preserve">ribu </v>
          </cell>
          <cell r="W334" t="str">
            <v>ribu</v>
          </cell>
        </row>
        <row r="335">
          <cell r="T335">
            <v>328</v>
          </cell>
          <cell r="U335" t="str">
            <v>Tiga ratus Dua puluh Delapan</v>
          </cell>
          <cell r="V335" t="str">
            <v xml:space="preserve">ribu </v>
          </cell>
          <cell r="W335" t="str">
            <v>ribu</v>
          </cell>
        </row>
        <row r="336">
          <cell r="T336">
            <v>329</v>
          </cell>
          <cell r="U336" t="str">
            <v>Tiga ratus Dua puluh Sembilan</v>
          </cell>
          <cell r="V336" t="str">
            <v xml:space="preserve">ribu </v>
          </cell>
          <cell r="W336" t="str">
            <v>ribu</v>
          </cell>
        </row>
        <row r="337">
          <cell r="T337">
            <v>330</v>
          </cell>
          <cell r="U337" t="str">
            <v xml:space="preserve">Tiga ratus Tiga puluh </v>
          </cell>
          <cell r="V337" t="str">
            <v xml:space="preserve">ribu </v>
          </cell>
          <cell r="W337" t="str">
            <v>ribu</v>
          </cell>
        </row>
        <row r="338">
          <cell r="T338">
            <v>331</v>
          </cell>
          <cell r="U338" t="str">
            <v>Tiga ratus Tiga puluh Satu</v>
          </cell>
          <cell r="V338" t="str">
            <v xml:space="preserve">ribu </v>
          </cell>
          <cell r="W338" t="str">
            <v>ribu</v>
          </cell>
        </row>
        <row r="339">
          <cell r="T339">
            <v>332</v>
          </cell>
          <cell r="U339" t="str">
            <v>Tiga ratus Tiga puluh Dua</v>
          </cell>
          <cell r="V339" t="str">
            <v xml:space="preserve">ribu </v>
          </cell>
          <cell r="W339" t="str">
            <v>ribu</v>
          </cell>
        </row>
        <row r="340">
          <cell r="T340">
            <v>333</v>
          </cell>
          <cell r="U340" t="str">
            <v>Tiga ratus Tiga puluh Tiga</v>
          </cell>
          <cell r="V340" t="str">
            <v xml:space="preserve">ribu </v>
          </cell>
          <cell r="W340" t="str">
            <v>ribu</v>
          </cell>
        </row>
        <row r="341">
          <cell r="T341">
            <v>334</v>
          </cell>
          <cell r="U341" t="str">
            <v>Tiga ratus Tiga puluh Empat</v>
          </cell>
          <cell r="V341" t="str">
            <v xml:space="preserve">ribu </v>
          </cell>
          <cell r="W341" t="str">
            <v>ribu</v>
          </cell>
        </row>
        <row r="342">
          <cell r="T342">
            <v>335</v>
          </cell>
          <cell r="U342" t="str">
            <v>Tiga ratus Tiga puluh Lima</v>
          </cell>
          <cell r="V342" t="str">
            <v xml:space="preserve">ribu </v>
          </cell>
          <cell r="W342" t="str">
            <v>ribu</v>
          </cell>
        </row>
        <row r="343">
          <cell r="T343">
            <v>336</v>
          </cell>
          <cell r="U343" t="str">
            <v>Tiga ratus Tiga puluh Enam</v>
          </cell>
          <cell r="V343" t="str">
            <v xml:space="preserve">ribu </v>
          </cell>
          <cell r="W343" t="str">
            <v>ribu</v>
          </cell>
        </row>
        <row r="344">
          <cell r="T344">
            <v>337</v>
          </cell>
          <cell r="U344" t="str">
            <v>Tiga ratus Tiga puluh Tujuh</v>
          </cell>
          <cell r="V344" t="str">
            <v xml:space="preserve">ribu </v>
          </cell>
          <cell r="W344" t="str">
            <v>ribu</v>
          </cell>
        </row>
        <row r="345">
          <cell r="T345">
            <v>338</v>
          </cell>
          <cell r="U345" t="str">
            <v>Tiga ratus Tiga puluh Delapan</v>
          </cell>
          <cell r="V345" t="str">
            <v xml:space="preserve">ribu </v>
          </cell>
          <cell r="W345" t="str">
            <v>ribu</v>
          </cell>
        </row>
        <row r="346">
          <cell r="T346">
            <v>339</v>
          </cell>
          <cell r="U346" t="str">
            <v>Tiga ratus Tiga puluh Sembilan</v>
          </cell>
          <cell r="V346" t="str">
            <v xml:space="preserve">ribu </v>
          </cell>
          <cell r="W346" t="str">
            <v>ribu</v>
          </cell>
        </row>
        <row r="347">
          <cell r="T347">
            <v>340</v>
          </cell>
          <cell r="U347" t="str">
            <v xml:space="preserve">Tiga ratus Empat puluh </v>
          </cell>
          <cell r="V347" t="str">
            <v xml:space="preserve">ribu </v>
          </cell>
          <cell r="W347" t="str">
            <v>ribu</v>
          </cell>
        </row>
        <row r="348">
          <cell r="T348">
            <v>341</v>
          </cell>
          <cell r="U348" t="str">
            <v>Tiga ratus Empat puluh Satu</v>
          </cell>
          <cell r="V348" t="str">
            <v xml:space="preserve">ribu </v>
          </cell>
          <cell r="W348" t="str">
            <v>ribu</v>
          </cell>
        </row>
        <row r="349">
          <cell r="T349">
            <v>342</v>
          </cell>
          <cell r="U349" t="str">
            <v>Tiga ratus Empat puluh Dua</v>
          </cell>
          <cell r="V349" t="str">
            <v xml:space="preserve">ribu </v>
          </cell>
          <cell r="W349" t="str">
            <v>ribu</v>
          </cell>
        </row>
        <row r="350">
          <cell r="T350">
            <v>343</v>
          </cell>
          <cell r="U350" t="str">
            <v>Tiga ratus Empat puluh Tiga</v>
          </cell>
          <cell r="V350" t="str">
            <v xml:space="preserve">ribu </v>
          </cell>
          <cell r="W350" t="str">
            <v>ribu</v>
          </cell>
        </row>
        <row r="351">
          <cell r="T351">
            <v>344</v>
          </cell>
          <cell r="U351" t="str">
            <v>Tiga ratus Empat puluh Empat</v>
          </cell>
          <cell r="V351" t="str">
            <v xml:space="preserve">ribu </v>
          </cell>
          <cell r="W351" t="str">
            <v>ribu</v>
          </cell>
        </row>
        <row r="352">
          <cell r="T352">
            <v>345</v>
          </cell>
          <cell r="U352" t="str">
            <v>Tiga ratus Empat puluh Lima</v>
          </cell>
          <cell r="V352" t="str">
            <v xml:space="preserve">ribu </v>
          </cell>
          <cell r="W352" t="str">
            <v>ribu</v>
          </cell>
        </row>
        <row r="353">
          <cell r="T353">
            <v>346</v>
          </cell>
          <cell r="U353" t="str">
            <v>Tiga ratus Empat puluh Enam</v>
          </cell>
          <cell r="V353" t="str">
            <v xml:space="preserve">ribu </v>
          </cell>
          <cell r="W353" t="str">
            <v>ribu</v>
          </cell>
        </row>
        <row r="354">
          <cell r="T354">
            <v>347</v>
          </cell>
          <cell r="U354" t="str">
            <v>Tiga ratus Empat puluh Tujuh</v>
          </cell>
          <cell r="V354" t="str">
            <v xml:space="preserve">ribu </v>
          </cell>
          <cell r="W354" t="str">
            <v>ribu</v>
          </cell>
        </row>
        <row r="355">
          <cell r="T355">
            <v>348</v>
          </cell>
          <cell r="U355" t="str">
            <v>Tiga ratus Empat puluh Delapan</v>
          </cell>
          <cell r="V355" t="str">
            <v xml:space="preserve">ribu </v>
          </cell>
          <cell r="W355" t="str">
            <v>ribu</v>
          </cell>
        </row>
        <row r="356">
          <cell r="T356">
            <v>349</v>
          </cell>
          <cell r="U356" t="str">
            <v>Tiga ratus Empat puluh Sembilan</v>
          </cell>
          <cell r="V356" t="str">
            <v xml:space="preserve">ribu </v>
          </cell>
          <cell r="W356" t="str">
            <v>ribu</v>
          </cell>
        </row>
        <row r="357">
          <cell r="T357">
            <v>350</v>
          </cell>
          <cell r="U357" t="str">
            <v xml:space="preserve">Tiga ratus Lima puluh </v>
          </cell>
          <cell r="V357" t="str">
            <v xml:space="preserve">ribu </v>
          </cell>
          <cell r="W357" t="str">
            <v>ribu</v>
          </cell>
        </row>
        <row r="358">
          <cell r="T358">
            <v>351</v>
          </cell>
          <cell r="U358" t="str">
            <v>Tiga ratus Lima puluh Satu</v>
          </cell>
          <cell r="V358" t="str">
            <v xml:space="preserve">ribu </v>
          </cell>
          <cell r="W358" t="str">
            <v>ribu</v>
          </cell>
        </row>
        <row r="359">
          <cell r="T359">
            <v>352</v>
          </cell>
          <cell r="U359" t="str">
            <v>Tiga ratus Lima puluh Dua</v>
          </cell>
          <cell r="V359" t="str">
            <v xml:space="preserve">ribu </v>
          </cell>
          <cell r="W359" t="str">
            <v>ribu</v>
          </cell>
        </row>
        <row r="360">
          <cell r="T360">
            <v>353</v>
          </cell>
          <cell r="U360" t="str">
            <v>Tiga ratus Lima puluh Tiga</v>
          </cell>
          <cell r="V360" t="str">
            <v xml:space="preserve">ribu </v>
          </cell>
          <cell r="W360" t="str">
            <v>ribu</v>
          </cell>
        </row>
        <row r="361">
          <cell r="T361">
            <v>354</v>
          </cell>
          <cell r="U361" t="str">
            <v>Tiga ratus Lima puluh Empat</v>
          </cell>
          <cell r="V361" t="str">
            <v xml:space="preserve">ribu </v>
          </cell>
          <cell r="W361" t="str">
            <v>ribu</v>
          </cell>
        </row>
        <row r="362">
          <cell r="T362">
            <v>355</v>
          </cell>
          <cell r="U362" t="str">
            <v>Tiga ratus Lima puluh Lima</v>
          </cell>
          <cell r="V362" t="str">
            <v xml:space="preserve">ribu </v>
          </cell>
          <cell r="W362" t="str">
            <v>ribu</v>
          </cell>
        </row>
        <row r="363">
          <cell r="T363">
            <v>356</v>
          </cell>
          <cell r="U363" t="str">
            <v>Tiga ratus Lima puluh Enam</v>
          </cell>
          <cell r="V363" t="str">
            <v xml:space="preserve">ribu </v>
          </cell>
          <cell r="W363" t="str">
            <v>ribu</v>
          </cell>
        </row>
        <row r="364">
          <cell r="T364">
            <v>357</v>
          </cell>
          <cell r="U364" t="str">
            <v>Tiga ratus Lima puluh Tujuh</v>
          </cell>
          <cell r="V364" t="str">
            <v xml:space="preserve">ribu </v>
          </cell>
          <cell r="W364" t="str">
            <v>ribu</v>
          </cell>
        </row>
        <row r="365">
          <cell r="T365">
            <v>358</v>
          </cell>
          <cell r="U365" t="str">
            <v>Tiga ratus Lima puluh Delapan</v>
          </cell>
          <cell r="V365" t="str">
            <v xml:space="preserve">ribu </v>
          </cell>
          <cell r="W365" t="str">
            <v>ribu</v>
          </cell>
        </row>
        <row r="366">
          <cell r="T366">
            <v>359</v>
          </cell>
          <cell r="U366" t="str">
            <v>Tiga ratus Lima puluh Sembilan</v>
          </cell>
          <cell r="V366" t="str">
            <v xml:space="preserve">ribu </v>
          </cell>
          <cell r="W366" t="str">
            <v>ribu</v>
          </cell>
        </row>
        <row r="367">
          <cell r="T367">
            <v>360</v>
          </cell>
          <cell r="U367" t="str">
            <v xml:space="preserve">Tiga ratus Enam puluh </v>
          </cell>
          <cell r="V367" t="str">
            <v xml:space="preserve">ribu </v>
          </cell>
          <cell r="W367" t="str">
            <v>ribu</v>
          </cell>
        </row>
        <row r="368">
          <cell r="T368">
            <v>361</v>
          </cell>
          <cell r="U368" t="str">
            <v>Tiga ratus Enam puluh Satu</v>
          </cell>
          <cell r="V368" t="str">
            <v xml:space="preserve">ribu </v>
          </cell>
          <cell r="W368" t="str">
            <v>ribu</v>
          </cell>
        </row>
        <row r="369">
          <cell r="T369">
            <v>362</v>
          </cell>
          <cell r="U369" t="str">
            <v>Tiga ratus Enam puluh Dua</v>
          </cell>
          <cell r="V369" t="str">
            <v xml:space="preserve">ribu </v>
          </cell>
          <cell r="W369" t="str">
            <v>ribu</v>
          </cell>
        </row>
        <row r="370">
          <cell r="T370">
            <v>363</v>
          </cell>
          <cell r="U370" t="str">
            <v>Tiga ratus Enam puluh Tiga</v>
          </cell>
          <cell r="V370" t="str">
            <v xml:space="preserve">ribu </v>
          </cell>
          <cell r="W370" t="str">
            <v>ribu</v>
          </cell>
        </row>
        <row r="371">
          <cell r="T371">
            <v>364</v>
          </cell>
          <cell r="U371" t="str">
            <v>Tiga ratus Enam puluh Empat</v>
          </cell>
          <cell r="V371" t="str">
            <v xml:space="preserve">ribu </v>
          </cell>
          <cell r="W371" t="str">
            <v>ribu</v>
          </cell>
        </row>
        <row r="372">
          <cell r="T372">
            <v>365</v>
          </cell>
          <cell r="U372" t="str">
            <v>Tiga ratus Enam puluh Lima</v>
          </cell>
          <cell r="V372" t="str">
            <v xml:space="preserve">ribu </v>
          </cell>
          <cell r="W372" t="str">
            <v>ribu</v>
          </cell>
        </row>
        <row r="373">
          <cell r="T373">
            <v>366</v>
          </cell>
          <cell r="U373" t="str">
            <v>Tiga ratus Enam puluh Enam</v>
          </cell>
          <cell r="V373" t="str">
            <v xml:space="preserve">ribu </v>
          </cell>
          <cell r="W373" t="str">
            <v>ribu</v>
          </cell>
        </row>
        <row r="374">
          <cell r="T374">
            <v>367</v>
          </cell>
          <cell r="U374" t="str">
            <v>Tiga ratus Enam puluh Tujuh</v>
          </cell>
          <cell r="V374" t="str">
            <v xml:space="preserve">ribu </v>
          </cell>
          <cell r="W374" t="str">
            <v>ribu</v>
          </cell>
        </row>
        <row r="375">
          <cell r="T375">
            <v>368</v>
          </cell>
          <cell r="U375" t="str">
            <v>Tiga ratus Enam puluh Delapan</v>
          </cell>
          <cell r="V375" t="str">
            <v xml:space="preserve">ribu </v>
          </cell>
          <cell r="W375" t="str">
            <v>ribu</v>
          </cell>
        </row>
        <row r="376">
          <cell r="T376">
            <v>369</v>
          </cell>
          <cell r="U376" t="str">
            <v>Tiga ratus Enam puluh Sembilan</v>
          </cell>
          <cell r="V376" t="str">
            <v xml:space="preserve">ribu </v>
          </cell>
          <cell r="W376" t="str">
            <v>ribu</v>
          </cell>
        </row>
        <row r="377">
          <cell r="T377">
            <v>370</v>
          </cell>
          <cell r="U377" t="str">
            <v xml:space="preserve">Tiga ratus Tujuh puluh </v>
          </cell>
          <cell r="V377" t="str">
            <v xml:space="preserve">ribu </v>
          </cell>
          <cell r="W377" t="str">
            <v>ribu</v>
          </cell>
        </row>
        <row r="378">
          <cell r="T378">
            <v>371</v>
          </cell>
          <cell r="U378" t="str">
            <v>Tiga ratus Tujuh puluh Satu</v>
          </cell>
          <cell r="V378" t="str">
            <v xml:space="preserve">ribu </v>
          </cell>
          <cell r="W378" t="str">
            <v>ribu</v>
          </cell>
        </row>
        <row r="379">
          <cell r="T379">
            <v>372</v>
          </cell>
          <cell r="U379" t="str">
            <v>Tiga ratus Tujuh puluh Dua</v>
          </cell>
          <cell r="V379" t="str">
            <v xml:space="preserve">ribu </v>
          </cell>
          <cell r="W379" t="str">
            <v>ribu</v>
          </cell>
        </row>
        <row r="380">
          <cell r="T380">
            <v>373</v>
          </cell>
          <cell r="U380" t="str">
            <v>Tiga ratus Tujuh puluh Tiga</v>
          </cell>
          <cell r="V380" t="str">
            <v xml:space="preserve">ribu </v>
          </cell>
          <cell r="W380" t="str">
            <v>ribu</v>
          </cell>
        </row>
        <row r="381">
          <cell r="T381">
            <v>374</v>
          </cell>
          <cell r="U381" t="str">
            <v>Tiga ratus Tujuh puluh Empat</v>
          </cell>
          <cell r="V381" t="str">
            <v xml:space="preserve">ribu </v>
          </cell>
          <cell r="W381" t="str">
            <v>ribu</v>
          </cell>
        </row>
        <row r="382">
          <cell r="T382">
            <v>375</v>
          </cell>
          <cell r="U382" t="str">
            <v>Tiga ratus Tujuh puluh Lima</v>
          </cell>
          <cell r="V382" t="str">
            <v xml:space="preserve">ribu </v>
          </cell>
          <cell r="W382" t="str">
            <v>ribu</v>
          </cell>
        </row>
        <row r="383">
          <cell r="T383">
            <v>376</v>
          </cell>
          <cell r="U383" t="str">
            <v>Tiga ratus Tujuh puluh Enam</v>
          </cell>
          <cell r="V383" t="str">
            <v xml:space="preserve">ribu </v>
          </cell>
          <cell r="W383" t="str">
            <v>ribu</v>
          </cell>
        </row>
        <row r="384">
          <cell r="T384">
            <v>377</v>
          </cell>
          <cell r="U384" t="str">
            <v>Tiga ratus Tujuh puluh Tujuh</v>
          </cell>
          <cell r="V384" t="str">
            <v xml:space="preserve">ribu </v>
          </cell>
          <cell r="W384" t="str">
            <v>ribu</v>
          </cell>
        </row>
        <row r="385">
          <cell r="T385">
            <v>378</v>
          </cell>
          <cell r="U385" t="str">
            <v>Tiga ratus Tujuh puluh Delapan</v>
          </cell>
          <cell r="V385" t="str">
            <v xml:space="preserve">ribu </v>
          </cell>
          <cell r="W385" t="str">
            <v>ribu</v>
          </cell>
        </row>
        <row r="386">
          <cell r="T386">
            <v>379</v>
          </cell>
          <cell r="U386" t="str">
            <v>Tiga ratus Tujuh puluh Sembilan</v>
          </cell>
          <cell r="V386" t="str">
            <v xml:space="preserve">ribu </v>
          </cell>
          <cell r="W386" t="str">
            <v>ribu</v>
          </cell>
        </row>
        <row r="387">
          <cell r="T387">
            <v>380</v>
          </cell>
          <cell r="U387" t="str">
            <v xml:space="preserve">Tiga ratus Delapan puluh </v>
          </cell>
          <cell r="V387" t="str">
            <v xml:space="preserve">ribu </v>
          </cell>
          <cell r="W387" t="str">
            <v>ribu</v>
          </cell>
        </row>
        <row r="388">
          <cell r="T388">
            <v>381</v>
          </cell>
          <cell r="U388" t="str">
            <v>Tiga ratus Delapan puluh Satu</v>
          </cell>
          <cell r="V388" t="str">
            <v xml:space="preserve">ribu </v>
          </cell>
          <cell r="W388" t="str">
            <v>ribu</v>
          </cell>
        </row>
        <row r="389">
          <cell r="T389">
            <v>382</v>
          </cell>
          <cell r="U389" t="str">
            <v>Tiga ratus Delapan puluh Dua</v>
          </cell>
          <cell r="V389" t="str">
            <v xml:space="preserve">ribu </v>
          </cell>
          <cell r="W389" t="str">
            <v>ribu</v>
          </cell>
        </row>
        <row r="390">
          <cell r="T390">
            <v>383</v>
          </cell>
          <cell r="U390" t="str">
            <v>Tiga ratus Delapan puluh Tiga</v>
          </cell>
          <cell r="V390" t="str">
            <v xml:space="preserve">ribu </v>
          </cell>
          <cell r="W390" t="str">
            <v>ribu</v>
          </cell>
        </row>
        <row r="391">
          <cell r="T391">
            <v>384</v>
          </cell>
          <cell r="U391" t="str">
            <v>Tiga ratus Delapan puluh Empat</v>
          </cell>
          <cell r="V391" t="str">
            <v xml:space="preserve">ribu </v>
          </cell>
          <cell r="W391" t="str">
            <v>ribu</v>
          </cell>
        </row>
        <row r="392">
          <cell r="T392">
            <v>385</v>
          </cell>
          <cell r="U392" t="str">
            <v>Tiga ratus Delapan puluh Lima</v>
          </cell>
          <cell r="V392" t="str">
            <v xml:space="preserve">ribu </v>
          </cell>
          <cell r="W392" t="str">
            <v>ribu</v>
          </cell>
        </row>
        <row r="393">
          <cell r="T393">
            <v>386</v>
          </cell>
          <cell r="U393" t="str">
            <v>Tiga ratus Delapan puluh Enam</v>
          </cell>
          <cell r="V393" t="str">
            <v xml:space="preserve">ribu </v>
          </cell>
          <cell r="W393" t="str">
            <v>ribu</v>
          </cell>
        </row>
        <row r="394">
          <cell r="T394">
            <v>387</v>
          </cell>
          <cell r="U394" t="str">
            <v>Tiga ratus Delapan puluh Tujuh</v>
          </cell>
          <cell r="V394" t="str">
            <v xml:space="preserve">ribu </v>
          </cell>
          <cell r="W394" t="str">
            <v>ribu</v>
          </cell>
        </row>
        <row r="395">
          <cell r="T395">
            <v>388</v>
          </cell>
          <cell r="U395" t="str">
            <v>Tiga ratus Delapan puluh Delapan</v>
          </cell>
          <cell r="V395" t="str">
            <v xml:space="preserve">ribu </v>
          </cell>
          <cell r="W395" t="str">
            <v>ribu</v>
          </cell>
        </row>
        <row r="396">
          <cell r="T396">
            <v>389</v>
          </cell>
          <cell r="U396" t="str">
            <v>Tiga ratus Delapan puluh Sembilan</v>
          </cell>
          <cell r="V396" t="str">
            <v xml:space="preserve">ribu </v>
          </cell>
          <cell r="W396" t="str">
            <v>ribu</v>
          </cell>
        </row>
        <row r="397">
          <cell r="T397">
            <v>390</v>
          </cell>
          <cell r="U397" t="str">
            <v xml:space="preserve">Tiga ratus Sembilan puluh </v>
          </cell>
          <cell r="V397" t="str">
            <v xml:space="preserve">ribu </v>
          </cell>
          <cell r="W397" t="str">
            <v>ribu</v>
          </cell>
        </row>
        <row r="398">
          <cell r="T398">
            <v>391</v>
          </cell>
          <cell r="U398" t="str">
            <v>Tiga ratus Sembilan puluh Satu</v>
          </cell>
          <cell r="V398" t="str">
            <v xml:space="preserve">ribu </v>
          </cell>
          <cell r="W398" t="str">
            <v>ribu</v>
          </cell>
        </row>
        <row r="399">
          <cell r="T399">
            <v>392</v>
          </cell>
          <cell r="U399" t="str">
            <v>Tiga ratus Sembilan puluh Dua</v>
          </cell>
          <cell r="V399" t="str">
            <v xml:space="preserve">ribu </v>
          </cell>
          <cell r="W399" t="str">
            <v>ribu</v>
          </cell>
        </row>
        <row r="400">
          <cell r="T400">
            <v>393</v>
          </cell>
          <cell r="U400" t="str">
            <v>Tiga ratus Sembilan puluh Tiga</v>
          </cell>
          <cell r="V400" t="str">
            <v xml:space="preserve">ribu </v>
          </cell>
          <cell r="W400" t="str">
            <v>ribu</v>
          </cell>
        </row>
        <row r="401">
          <cell r="T401">
            <v>394</v>
          </cell>
          <cell r="U401" t="str">
            <v>Tiga ratus Sembilan puluh Empat</v>
          </cell>
          <cell r="V401" t="str">
            <v xml:space="preserve">ribu </v>
          </cell>
          <cell r="W401" t="str">
            <v>ribu</v>
          </cell>
        </row>
        <row r="402">
          <cell r="T402">
            <v>395</v>
          </cell>
          <cell r="U402" t="str">
            <v>Tiga ratus Sembilan puluh Lima</v>
          </cell>
          <cell r="V402" t="str">
            <v xml:space="preserve">ribu </v>
          </cell>
          <cell r="W402" t="str">
            <v>ribu</v>
          </cell>
        </row>
        <row r="403">
          <cell r="T403">
            <v>396</v>
          </cell>
          <cell r="U403" t="str">
            <v>Tiga ratus Sembilan puluh Enam</v>
          </cell>
          <cell r="V403" t="str">
            <v xml:space="preserve">ribu </v>
          </cell>
          <cell r="W403" t="str">
            <v>ribu</v>
          </cell>
        </row>
        <row r="404">
          <cell r="T404">
            <v>397</v>
          </cell>
          <cell r="U404" t="str">
            <v>Tiga ratus Sembilan puluh Tujuh</v>
          </cell>
          <cell r="V404" t="str">
            <v xml:space="preserve">ribu </v>
          </cell>
          <cell r="W404" t="str">
            <v>ribu</v>
          </cell>
        </row>
        <row r="405">
          <cell r="T405">
            <v>398</v>
          </cell>
          <cell r="U405" t="str">
            <v>Tiga ratus Sembilan puluh Delapan</v>
          </cell>
          <cell r="V405" t="str">
            <v xml:space="preserve">ribu </v>
          </cell>
          <cell r="W405" t="str">
            <v>ribu</v>
          </cell>
        </row>
        <row r="406">
          <cell r="T406">
            <v>399</v>
          </cell>
          <cell r="U406" t="str">
            <v>Tiga ratus Sembilan puluh Sembilan</v>
          </cell>
          <cell r="V406" t="str">
            <v xml:space="preserve">ribu </v>
          </cell>
          <cell r="W406" t="str">
            <v>ribu</v>
          </cell>
        </row>
        <row r="407">
          <cell r="T407">
            <v>400</v>
          </cell>
          <cell r="U407" t="str">
            <v xml:space="preserve">Empat ratus </v>
          </cell>
          <cell r="V407" t="str">
            <v xml:space="preserve">ribu </v>
          </cell>
          <cell r="W407" t="str">
            <v>ribu</v>
          </cell>
        </row>
        <row r="408">
          <cell r="T408">
            <v>401</v>
          </cell>
          <cell r="U408" t="str">
            <v>Empat ratus Satu</v>
          </cell>
          <cell r="V408" t="str">
            <v xml:space="preserve">ribu </v>
          </cell>
          <cell r="W408" t="str">
            <v>ribu</v>
          </cell>
        </row>
        <row r="409">
          <cell r="T409">
            <v>402</v>
          </cell>
          <cell r="U409" t="str">
            <v>Empat ratus Dua</v>
          </cell>
          <cell r="V409" t="str">
            <v xml:space="preserve">ribu </v>
          </cell>
          <cell r="W409" t="str">
            <v>ribu</v>
          </cell>
        </row>
        <row r="410">
          <cell r="T410">
            <v>403</v>
          </cell>
          <cell r="U410" t="str">
            <v>Empat ratus Tiga</v>
          </cell>
          <cell r="V410" t="str">
            <v xml:space="preserve">ribu </v>
          </cell>
          <cell r="W410" t="str">
            <v>ribu</v>
          </cell>
        </row>
        <row r="411">
          <cell r="T411">
            <v>404</v>
          </cell>
          <cell r="U411" t="str">
            <v>Empat ratus Empat</v>
          </cell>
          <cell r="V411" t="str">
            <v xml:space="preserve">ribu </v>
          </cell>
          <cell r="W411" t="str">
            <v>ribu</v>
          </cell>
        </row>
        <row r="412">
          <cell r="T412">
            <v>405</v>
          </cell>
          <cell r="U412" t="str">
            <v>Empat ratus Lima</v>
          </cell>
          <cell r="V412" t="str">
            <v xml:space="preserve">ribu </v>
          </cell>
          <cell r="W412" t="str">
            <v>ribu</v>
          </cell>
        </row>
        <row r="413">
          <cell r="T413">
            <v>406</v>
          </cell>
          <cell r="U413" t="str">
            <v>Empat ratus Enam</v>
          </cell>
          <cell r="V413" t="str">
            <v xml:space="preserve">ribu </v>
          </cell>
          <cell r="W413" t="str">
            <v>ribu</v>
          </cell>
        </row>
        <row r="414">
          <cell r="T414">
            <v>407</v>
          </cell>
          <cell r="U414" t="str">
            <v>Empat ratus Tujuh</v>
          </cell>
          <cell r="V414" t="str">
            <v xml:space="preserve">ribu </v>
          </cell>
          <cell r="W414" t="str">
            <v>ribu</v>
          </cell>
        </row>
        <row r="415">
          <cell r="T415">
            <v>408</v>
          </cell>
          <cell r="U415" t="str">
            <v>Empat ratus Delapan</v>
          </cell>
          <cell r="V415" t="str">
            <v xml:space="preserve">ribu </v>
          </cell>
          <cell r="W415" t="str">
            <v>ribu</v>
          </cell>
        </row>
        <row r="416">
          <cell r="T416">
            <v>409</v>
          </cell>
          <cell r="U416" t="str">
            <v>Empat ratus Sembilan</v>
          </cell>
          <cell r="V416" t="str">
            <v xml:space="preserve">ribu </v>
          </cell>
          <cell r="W416" t="str">
            <v>ribu</v>
          </cell>
        </row>
        <row r="417">
          <cell r="T417">
            <v>410</v>
          </cell>
          <cell r="U417" t="str">
            <v>Empat ratus Sepuluh</v>
          </cell>
          <cell r="V417" t="str">
            <v xml:space="preserve">ribu </v>
          </cell>
          <cell r="W417" t="str">
            <v>ribu</v>
          </cell>
        </row>
        <row r="418">
          <cell r="T418">
            <v>411</v>
          </cell>
          <cell r="U418" t="str">
            <v>Empat ratus Sebelas</v>
          </cell>
          <cell r="V418" t="str">
            <v xml:space="preserve">ribu </v>
          </cell>
          <cell r="W418" t="str">
            <v>ribu</v>
          </cell>
        </row>
        <row r="419">
          <cell r="T419">
            <v>412</v>
          </cell>
          <cell r="U419" t="str">
            <v>Empat ratus Dua belas</v>
          </cell>
          <cell r="V419" t="str">
            <v xml:space="preserve">ribu </v>
          </cell>
          <cell r="W419" t="str">
            <v>ribu</v>
          </cell>
        </row>
        <row r="420">
          <cell r="T420">
            <v>413</v>
          </cell>
          <cell r="U420" t="str">
            <v>Empat ratus Tiga belas</v>
          </cell>
          <cell r="V420" t="str">
            <v xml:space="preserve">ribu </v>
          </cell>
          <cell r="W420" t="str">
            <v>ribu</v>
          </cell>
        </row>
        <row r="421">
          <cell r="T421">
            <v>414</v>
          </cell>
          <cell r="U421" t="str">
            <v>Empat ratus Empat belas</v>
          </cell>
          <cell r="V421" t="str">
            <v xml:space="preserve">ribu </v>
          </cell>
          <cell r="W421" t="str">
            <v>ribu</v>
          </cell>
        </row>
        <row r="422">
          <cell r="T422">
            <v>415</v>
          </cell>
          <cell r="U422" t="str">
            <v>Empat ratus Lima belas</v>
          </cell>
          <cell r="V422" t="str">
            <v xml:space="preserve">ribu </v>
          </cell>
          <cell r="W422" t="str">
            <v>ribu</v>
          </cell>
        </row>
        <row r="423">
          <cell r="T423">
            <v>416</v>
          </cell>
          <cell r="U423" t="str">
            <v>Empat ratus Enam belas</v>
          </cell>
          <cell r="V423" t="str">
            <v xml:space="preserve">ribu </v>
          </cell>
          <cell r="W423" t="str">
            <v>ribu</v>
          </cell>
        </row>
        <row r="424">
          <cell r="T424">
            <v>417</v>
          </cell>
          <cell r="U424" t="str">
            <v>Empat ratus Tujuh belas</v>
          </cell>
          <cell r="V424" t="str">
            <v xml:space="preserve">ribu </v>
          </cell>
          <cell r="W424" t="str">
            <v>ribu</v>
          </cell>
        </row>
        <row r="425">
          <cell r="T425">
            <v>418</v>
          </cell>
          <cell r="U425" t="str">
            <v>Empat ratus Delapan belas</v>
          </cell>
          <cell r="V425" t="str">
            <v xml:space="preserve">ribu </v>
          </cell>
          <cell r="W425" t="str">
            <v>ribu</v>
          </cell>
        </row>
        <row r="426">
          <cell r="T426">
            <v>419</v>
          </cell>
          <cell r="U426" t="str">
            <v>Empat ratus Sembilan belas</v>
          </cell>
          <cell r="V426" t="str">
            <v xml:space="preserve">ribu </v>
          </cell>
          <cell r="W426" t="str">
            <v>ribu</v>
          </cell>
        </row>
        <row r="427">
          <cell r="T427">
            <v>420</v>
          </cell>
          <cell r="U427" t="str">
            <v xml:space="preserve">Empat ratus Dua puluh </v>
          </cell>
          <cell r="V427" t="str">
            <v xml:space="preserve">ribu </v>
          </cell>
          <cell r="W427" t="str">
            <v>ribu</v>
          </cell>
        </row>
        <row r="428">
          <cell r="T428">
            <v>421</v>
          </cell>
          <cell r="U428" t="str">
            <v>Empat ratus Dua puluh Satu</v>
          </cell>
          <cell r="V428" t="str">
            <v xml:space="preserve">ribu </v>
          </cell>
          <cell r="W428" t="str">
            <v>ribu</v>
          </cell>
        </row>
        <row r="429">
          <cell r="T429">
            <v>422</v>
          </cell>
          <cell r="U429" t="str">
            <v>Empat ratus Dua puluh Dua</v>
          </cell>
          <cell r="V429" t="str">
            <v xml:space="preserve">ribu </v>
          </cell>
          <cell r="W429" t="str">
            <v>ribu</v>
          </cell>
        </row>
        <row r="430">
          <cell r="T430">
            <v>423</v>
          </cell>
          <cell r="U430" t="str">
            <v>Empat ratus Dua puluh Tiga</v>
          </cell>
          <cell r="V430" t="str">
            <v xml:space="preserve">ribu </v>
          </cell>
          <cell r="W430" t="str">
            <v>ribu</v>
          </cell>
        </row>
        <row r="431">
          <cell r="T431">
            <v>424</v>
          </cell>
          <cell r="U431" t="str">
            <v>Empat ratus Dua puluh Empat</v>
          </cell>
          <cell r="V431" t="str">
            <v xml:space="preserve">ribu </v>
          </cell>
          <cell r="W431" t="str">
            <v>ribu</v>
          </cell>
        </row>
        <row r="432">
          <cell r="T432">
            <v>425</v>
          </cell>
          <cell r="U432" t="str">
            <v>Empat ratus Dua puluh Lima</v>
          </cell>
          <cell r="V432" t="str">
            <v xml:space="preserve">ribu </v>
          </cell>
          <cell r="W432" t="str">
            <v>ribu</v>
          </cell>
        </row>
        <row r="433">
          <cell r="T433">
            <v>426</v>
          </cell>
          <cell r="U433" t="str">
            <v>Empat ratus Dua puluh Enam</v>
          </cell>
          <cell r="V433" t="str">
            <v xml:space="preserve">ribu </v>
          </cell>
          <cell r="W433" t="str">
            <v>ribu</v>
          </cell>
        </row>
        <row r="434">
          <cell r="T434">
            <v>427</v>
          </cell>
          <cell r="U434" t="str">
            <v>Empat ratus Dua puluh Tujuh</v>
          </cell>
          <cell r="V434" t="str">
            <v xml:space="preserve">ribu </v>
          </cell>
          <cell r="W434" t="str">
            <v>ribu</v>
          </cell>
        </row>
        <row r="435">
          <cell r="T435">
            <v>428</v>
          </cell>
          <cell r="U435" t="str">
            <v>Empat ratus Dua puluh Delapan</v>
          </cell>
          <cell r="V435" t="str">
            <v xml:space="preserve">ribu </v>
          </cell>
          <cell r="W435" t="str">
            <v>ribu</v>
          </cell>
        </row>
        <row r="436">
          <cell r="T436">
            <v>429</v>
          </cell>
          <cell r="U436" t="str">
            <v>Empat ratus Dua puluh Sembilan</v>
          </cell>
          <cell r="V436" t="str">
            <v xml:space="preserve">ribu </v>
          </cell>
          <cell r="W436" t="str">
            <v>ribu</v>
          </cell>
        </row>
        <row r="437">
          <cell r="T437">
            <v>430</v>
          </cell>
          <cell r="U437" t="str">
            <v xml:space="preserve">Empat ratus Tiga puluh </v>
          </cell>
          <cell r="V437" t="str">
            <v xml:space="preserve">ribu </v>
          </cell>
          <cell r="W437" t="str">
            <v>ribu</v>
          </cell>
        </row>
        <row r="438">
          <cell r="T438">
            <v>431</v>
          </cell>
          <cell r="U438" t="str">
            <v>Empat ratus Tiga puluh Satu</v>
          </cell>
          <cell r="V438" t="str">
            <v xml:space="preserve">ribu </v>
          </cell>
          <cell r="W438" t="str">
            <v>ribu</v>
          </cell>
        </row>
        <row r="439">
          <cell r="T439">
            <v>432</v>
          </cell>
          <cell r="U439" t="str">
            <v>Empat ratus Tiga puluh Dua</v>
          </cell>
          <cell r="V439" t="str">
            <v xml:space="preserve">ribu </v>
          </cell>
          <cell r="W439" t="str">
            <v>ribu</v>
          </cell>
        </row>
        <row r="440">
          <cell r="T440">
            <v>433</v>
          </cell>
          <cell r="U440" t="str">
            <v>Empat ratus Tiga puluh Tiga</v>
          </cell>
          <cell r="V440" t="str">
            <v xml:space="preserve">ribu </v>
          </cell>
          <cell r="W440" t="str">
            <v>ribu</v>
          </cell>
        </row>
        <row r="441">
          <cell r="T441">
            <v>434</v>
          </cell>
          <cell r="U441" t="str">
            <v>Empat ratus Tiga puluh Empat</v>
          </cell>
          <cell r="V441" t="str">
            <v xml:space="preserve">ribu </v>
          </cell>
          <cell r="W441" t="str">
            <v>ribu</v>
          </cell>
        </row>
        <row r="442">
          <cell r="T442">
            <v>435</v>
          </cell>
          <cell r="U442" t="str">
            <v>Empat ratus Tiga puluh Lima</v>
          </cell>
          <cell r="V442" t="str">
            <v xml:space="preserve">ribu </v>
          </cell>
          <cell r="W442" t="str">
            <v>ribu</v>
          </cell>
        </row>
        <row r="443">
          <cell r="T443">
            <v>436</v>
          </cell>
          <cell r="U443" t="str">
            <v>Empat ratus Tiga puluh Enam</v>
          </cell>
          <cell r="V443" t="str">
            <v xml:space="preserve">ribu </v>
          </cell>
          <cell r="W443" t="str">
            <v>ribu</v>
          </cell>
        </row>
        <row r="444">
          <cell r="T444">
            <v>437</v>
          </cell>
          <cell r="U444" t="str">
            <v>Empat ratus Tiga puluh Tujuh</v>
          </cell>
          <cell r="V444" t="str">
            <v xml:space="preserve">ribu </v>
          </cell>
          <cell r="W444" t="str">
            <v>ribu</v>
          </cell>
        </row>
        <row r="445">
          <cell r="T445">
            <v>438</v>
          </cell>
          <cell r="U445" t="str">
            <v>Empat ratus Tiga puluh Delapan</v>
          </cell>
          <cell r="V445" t="str">
            <v xml:space="preserve">ribu </v>
          </cell>
          <cell r="W445" t="str">
            <v>ribu</v>
          </cell>
        </row>
        <row r="446">
          <cell r="T446">
            <v>439</v>
          </cell>
          <cell r="U446" t="str">
            <v>Empat ratus Tiga puluh Sembilan</v>
          </cell>
          <cell r="V446" t="str">
            <v xml:space="preserve">ribu </v>
          </cell>
          <cell r="W446" t="str">
            <v>ribu</v>
          </cell>
        </row>
        <row r="447">
          <cell r="T447">
            <v>440</v>
          </cell>
          <cell r="U447" t="str">
            <v xml:space="preserve">Empat ratus Empat puluh </v>
          </cell>
          <cell r="V447" t="str">
            <v xml:space="preserve">ribu </v>
          </cell>
          <cell r="W447" t="str">
            <v>ribu</v>
          </cell>
        </row>
        <row r="448">
          <cell r="T448">
            <v>441</v>
          </cell>
          <cell r="U448" t="str">
            <v>Empat ratus Empat puluh Satu</v>
          </cell>
          <cell r="V448" t="str">
            <v xml:space="preserve">ribu </v>
          </cell>
          <cell r="W448" t="str">
            <v>ribu</v>
          </cell>
        </row>
        <row r="449">
          <cell r="T449">
            <v>442</v>
          </cell>
          <cell r="U449" t="str">
            <v>Empat ratus Empat puluh Dua</v>
          </cell>
          <cell r="V449" t="str">
            <v xml:space="preserve">ribu </v>
          </cell>
          <cell r="W449" t="str">
            <v>ribu</v>
          </cell>
        </row>
        <row r="450">
          <cell r="T450">
            <v>443</v>
          </cell>
          <cell r="U450" t="str">
            <v>Empat ratus Empat puluh Tiga</v>
          </cell>
          <cell r="V450" t="str">
            <v xml:space="preserve">ribu </v>
          </cell>
          <cell r="W450" t="str">
            <v>ribu</v>
          </cell>
        </row>
        <row r="451">
          <cell r="T451">
            <v>444</v>
          </cell>
          <cell r="U451" t="str">
            <v>Empat ratus Empat puluh Empat</v>
          </cell>
          <cell r="V451" t="str">
            <v xml:space="preserve">ribu </v>
          </cell>
          <cell r="W451" t="str">
            <v>ribu</v>
          </cell>
        </row>
        <row r="452">
          <cell r="T452">
            <v>445</v>
          </cell>
          <cell r="U452" t="str">
            <v>Empat ratus Empat puluh Lima</v>
          </cell>
          <cell r="V452" t="str">
            <v xml:space="preserve">ribu </v>
          </cell>
          <cell r="W452" t="str">
            <v>ribu</v>
          </cell>
        </row>
        <row r="453">
          <cell r="T453">
            <v>446</v>
          </cell>
          <cell r="U453" t="str">
            <v>Empat ratus Empat puluh Enam</v>
          </cell>
          <cell r="V453" t="str">
            <v xml:space="preserve">ribu </v>
          </cell>
          <cell r="W453" t="str">
            <v>ribu</v>
          </cell>
        </row>
        <row r="454">
          <cell r="T454">
            <v>447</v>
          </cell>
          <cell r="U454" t="str">
            <v>Empat ratus Empat puluh Tujuh</v>
          </cell>
          <cell r="V454" t="str">
            <v xml:space="preserve">ribu </v>
          </cell>
          <cell r="W454" t="str">
            <v>ribu</v>
          </cell>
        </row>
        <row r="455">
          <cell r="T455">
            <v>448</v>
          </cell>
          <cell r="U455" t="str">
            <v>Empat ratus Empat puluh Delapan</v>
          </cell>
          <cell r="V455" t="str">
            <v xml:space="preserve">ribu </v>
          </cell>
          <cell r="W455" t="str">
            <v>ribu</v>
          </cell>
        </row>
        <row r="456">
          <cell r="T456">
            <v>449</v>
          </cell>
          <cell r="U456" t="str">
            <v>Empat ratus Empat puluh Sembilan</v>
          </cell>
          <cell r="V456" t="str">
            <v xml:space="preserve">ribu </v>
          </cell>
          <cell r="W456" t="str">
            <v>ribu</v>
          </cell>
        </row>
        <row r="457">
          <cell r="T457">
            <v>450</v>
          </cell>
          <cell r="U457" t="str">
            <v xml:space="preserve">Empat ratus Lima puluh </v>
          </cell>
          <cell r="V457" t="str">
            <v xml:space="preserve">ribu </v>
          </cell>
          <cell r="W457" t="str">
            <v>ribu</v>
          </cell>
        </row>
        <row r="458">
          <cell r="T458">
            <v>451</v>
          </cell>
          <cell r="U458" t="str">
            <v>Empat ratus Lima puluh Satu</v>
          </cell>
          <cell r="V458" t="str">
            <v xml:space="preserve">ribu </v>
          </cell>
          <cell r="W458" t="str">
            <v>ribu</v>
          </cell>
        </row>
        <row r="459">
          <cell r="T459">
            <v>452</v>
          </cell>
          <cell r="U459" t="str">
            <v>Empat ratus Lima puluh Dua</v>
          </cell>
          <cell r="V459" t="str">
            <v xml:space="preserve">ribu </v>
          </cell>
          <cell r="W459" t="str">
            <v>ribu</v>
          </cell>
        </row>
        <row r="460">
          <cell r="T460">
            <v>453</v>
          </cell>
          <cell r="U460" t="str">
            <v>Empat ratus Lima puluh Tiga</v>
          </cell>
          <cell r="V460" t="str">
            <v xml:space="preserve">ribu </v>
          </cell>
          <cell r="W460" t="str">
            <v>ribu</v>
          </cell>
        </row>
        <row r="461">
          <cell r="T461">
            <v>454</v>
          </cell>
          <cell r="U461" t="str">
            <v>Empat ratus Lima puluh Empat</v>
          </cell>
          <cell r="V461" t="str">
            <v xml:space="preserve">ribu </v>
          </cell>
          <cell r="W461" t="str">
            <v>ribu</v>
          </cell>
        </row>
        <row r="462">
          <cell r="T462">
            <v>455</v>
          </cell>
          <cell r="U462" t="str">
            <v>Empat ratus Lima puluh Lima</v>
          </cell>
          <cell r="V462" t="str">
            <v xml:space="preserve">ribu </v>
          </cell>
          <cell r="W462" t="str">
            <v>ribu</v>
          </cell>
        </row>
        <row r="463">
          <cell r="T463">
            <v>456</v>
          </cell>
          <cell r="U463" t="str">
            <v>Empat ratus Lima puluh Enam</v>
          </cell>
          <cell r="V463" t="str">
            <v xml:space="preserve">ribu </v>
          </cell>
          <cell r="W463" t="str">
            <v>ribu</v>
          </cell>
        </row>
        <row r="464">
          <cell r="T464">
            <v>457</v>
          </cell>
          <cell r="U464" t="str">
            <v>Empat ratus Lima puluh Tujuh</v>
          </cell>
          <cell r="V464" t="str">
            <v xml:space="preserve">ribu </v>
          </cell>
          <cell r="W464" t="str">
            <v>ribu</v>
          </cell>
        </row>
        <row r="465">
          <cell r="T465">
            <v>458</v>
          </cell>
          <cell r="U465" t="str">
            <v>Empat ratus Lima puluh Delapan</v>
          </cell>
          <cell r="V465" t="str">
            <v xml:space="preserve">ribu </v>
          </cell>
          <cell r="W465" t="str">
            <v>ribu</v>
          </cell>
        </row>
        <row r="466">
          <cell r="T466">
            <v>459</v>
          </cell>
          <cell r="U466" t="str">
            <v>Empat ratus Lima puluh Sembilan</v>
          </cell>
          <cell r="V466" t="str">
            <v xml:space="preserve">ribu </v>
          </cell>
          <cell r="W466" t="str">
            <v>ribu</v>
          </cell>
        </row>
        <row r="467">
          <cell r="T467">
            <v>460</v>
          </cell>
          <cell r="U467" t="str">
            <v xml:space="preserve">Empat ratus Enam puluh </v>
          </cell>
          <cell r="V467" t="str">
            <v xml:space="preserve">ribu </v>
          </cell>
          <cell r="W467" t="str">
            <v>ribu</v>
          </cell>
        </row>
        <row r="468">
          <cell r="T468">
            <v>461</v>
          </cell>
          <cell r="U468" t="str">
            <v>Empat ratus Enam puluh Satu</v>
          </cell>
          <cell r="V468" t="str">
            <v xml:space="preserve">ribu </v>
          </cell>
          <cell r="W468" t="str">
            <v>ribu</v>
          </cell>
        </row>
        <row r="469">
          <cell r="T469">
            <v>462</v>
          </cell>
          <cell r="U469" t="str">
            <v>Empat ratus Enam puluh Dua</v>
          </cell>
          <cell r="V469" t="str">
            <v xml:space="preserve">ribu </v>
          </cell>
          <cell r="W469" t="str">
            <v>ribu</v>
          </cell>
        </row>
        <row r="470">
          <cell r="T470">
            <v>463</v>
          </cell>
          <cell r="U470" t="str">
            <v>Empat ratus Enam puluh Tiga</v>
          </cell>
          <cell r="V470" t="str">
            <v xml:space="preserve">ribu </v>
          </cell>
          <cell r="W470" t="str">
            <v>ribu</v>
          </cell>
        </row>
        <row r="471">
          <cell r="T471">
            <v>464</v>
          </cell>
          <cell r="U471" t="str">
            <v>Empat ratus Enam puluh Empat</v>
          </cell>
          <cell r="V471" t="str">
            <v xml:space="preserve">ribu </v>
          </cell>
          <cell r="W471" t="str">
            <v>ribu</v>
          </cell>
        </row>
        <row r="472">
          <cell r="T472">
            <v>465</v>
          </cell>
          <cell r="U472" t="str">
            <v>Empat ratus Enam puluh Lima</v>
          </cell>
          <cell r="V472" t="str">
            <v xml:space="preserve">ribu </v>
          </cell>
          <cell r="W472" t="str">
            <v>ribu</v>
          </cell>
        </row>
        <row r="473">
          <cell r="T473">
            <v>466</v>
          </cell>
          <cell r="U473" t="str">
            <v>Empat ratus Enam puluh Enam</v>
          </cell>
          <cell r="V473" t="str">
            <v xml:space="preserve">ribu </v>
          </cell>
          <cell r="W473" t="str">
            <v>ribu</v>
          </cell>
        </row>
        <row r="474">
          <cell r="T474">
            <v>467</v>
          </cell>
          <cell r="U474" t="str">
            <v>Empat ratus Enam puluh Tujuh</v>
          </cell>
          <cell r="V474" t="str">
            <v xml:space="preserve">ribu </v>
          </cell>
          <cell r="W474" t="str">
            <v>ribu</v>
          </cell>
        </row>
        <row r="475">
          <cell r="T475">
            <v>468</v>
          </cell>
          <cell r="U475" t="str">
            <v>Empat ratus Enam puluh Delapan</v>
          </cell>
          <cell r="V475" t="str">
            <v xml:space="preserve">ribu </v>
          </cell>
          <cell r="W475" t="str">
            <v>ribu</v>
          </cell>
        </row>
        <row r="476">
          <cell r="T476">
            <v>469</v>
          </cell>
          <cell r="U476" t="str">
            <v>Empat ratus Enam puluh Sembilan</v>
          </cell>
          <cell r="V476" t="str">
            <v xml:space="preserve">ribu </v>
          </cell>
          <cell r="W476" t="str">
            <v>ribu</v>
          </cell>
        </row>
        <row r="477">
          <cell r="T477">
            <v>470</v>
          </cell>
          <cell r="U477" t="str">
            <v xml:space="preserve">Empat ratus Tujuh puluh </v>
          </cell>
          <cell r="V477" t="str">
            <v xml:space="preserve">ribu </v>
          </cell>
          <cell r="W477" t="str">
            <v>ribu</v>
          </cell>
        </row>
        <row r="478">
          <cell r="T478">
            <v>471</v>
          </cell>
          <cell r="U478" t="str">
            <v>Empat ratus Tujuh puluh Satu</v>
          </cell>
          <cell r="V478" t="str">
            <v xml:space="preserve">ribu </v>
          </cell>
          <cell r="W478" t="str">
            <v>ribu</v>
          </cell>
        </row>
        <row r="479">
          <cell r="T479">
            <v>472</v>
          </cell>
          <cell r="U479" t="str">
            <v>Empat ratus Tujuh puluh Dua</v>
          </cell>
          <cell r="V479" t="str">
            <v xml:space="preserve">ribu </v>
          </cell>
          <cell r="W479" t="str">
            <v>ribu</v>
          </cell>
        </row>
        <row r="480">
          <cell r="T480">
            <v>473</v>
          </cell>
          <cell r="U480" t="str">
            <v>Empat ratus Tujuh puluh Tiga</v>
          </cell>
          <cell r="V480" t="str">
            <v xml:space="preserve">ribu </v>
          </cell>
          <cell r="W480" t="str">
            <v>ribu</v>
          </cell>
        </row>
        <row r="481">
          <cell r="T481">
            <v>474</v>
          </cell>
          <cell r="U481" t="str">
            <v>Empat ratus Tujuh puluh Empat</v>
          </cell>
          <cell r="V481" t="str">
            <v xml:space="preserve">ribu </v>
          </cell>
          <cell r="W481" t="str">
            <v>ribu</v>
          </cell>
        </row>
        <row r="482">
          <cell r="T482">
            <v>475</v>
          </cell>
          <cell r="U482" t="str">
            <v>Empat ratus Tujuh puluh Lima</v>
          </cell>
          <cell r="V482" t="str">
            <v xml:space="preserve">ribu </v>
          </cell>
          <cell r="W482" t="str">
            <v>ribu</v>
          </cell>
        </row>
        <row r="483">
          <cell r="T483">
            <v>476</v>
          </cell>
          <cell r="U483" t="str">
            <v>Empat ratus Tujuh puluh Enam</v>
          </cell>
          <cell r="V483" t="str">
            <v xml:space="preserve">ribu </v>
          </cell>
          <cell r="W483" t="str">
            <v>ribu</v>
          </cell>
        </row>
        <row r="484">
          <cell r="T484">
            <v>477</v>
          </cell>
          <cell r="U484" t="str">
            <v>Empat ratus Tujuh puluh Tujuh</v>
          </cell>
          <cell r="V484" t="str">
            <v xml:space="preserve">ribu </v>
          </cell>
          <cell r="W484" t="str">
            <v>ribu</v>
          </cell>
        </row>
        <row r="485">
          <cell r="T485">
            <v>478</v>
          </cell>
          <cell r="U485" t="str">
            <v>Empat ratus Tujuh puluh Delapan</v>
          </cell>
          <cell r="V485" t="str">
            <v xml:space="preserve">ribu </v>
          </cell>
          <cell r="W485" t="str">
            <v>ribu</v>
          </cell>
        </row>
        <row r="486">
          <cell r="T486">
            <v>479</v>
          </cell>
          <cell r="U486" t="str">
            <v>Empat ratus Tujuh puluh Sembilan</v>
          </cell>
          <cell r="V486" t="str">
            <v xml:space="preserve">ribu </v>
          </cell>
          <cell r="W486" t="str">
            <v>ribu</v>
          </cell>
        </row>
        <row r="487">
          <cell r="T487">
            <v>480</v>
          </cell>
          <cell r="U487" t="str">
            <v xml:space="preserve">Empat ratus Delapan puluh </v>
          </cell>
          <cell r="V487" t="str">
            <v xml:space="preserve">ribu </v>
          </cell>
          <cell r="W487" t="str">
            <v>ribu</v>
          </cell>
        </row>
        <row r="488">
          <cell r="T488">
            <v>481</v>
          </cell>
          <cell r="U488" t="str">
            <v>Empat ratus Delapan puluh Satu</v>
          </cell>
          <cell r="V488" t="str">
            <v xml:space="preserve">ribu </v>
          </cell>
          <cell r="W488" t="str">
            <v>ribu</v>
          </cell>
        </row>
        <row r="489">
          <cell r="T489">
            <v>482</v>
          </cell>
          <cell r="U489" t="str">
            <v>Empat ratus Delapan puluh Dua</v>
          </cell>
          <cell r="V489" t="str">
            <v xml:space="preserve">ribu </v>
          </cell>
          <cell r="W489" t="str">
            <v>ribu</v>
          </cell>
        </row>
        <row r="490">
          <cell r="T490">
            <v>483</v>
          </cell>
          <cell r="U490" t="str">
            <v>Empat ratus Delapan puluh Tiga</v>
          </cell>
          <cell r="V490" t="str">
            <v xml:space="preserve">ribu </v>
          </cell>
          <cell r="W490" t="str">
            <v>ribu</v>
          </cell>
        </row>
        <row r="491">
          <cell r="T491">
            <v>484</v>
          </cell>
          <cell r="U491" t="str">
            <v>Empat ratus Delapan puluh Empat</v>
          </cell>
          <cell r="V491" t="str">
            <v xml:space="preserve">ribu </v>
          </cell>
          <cell r="W491" t="str">
            <v>ribu</v>
          </cell>
        </row>
        <row r="492">
          <cell r="T492">
            <v>485</v>
          </cell>
          <cell r="U492" t="str">
            <v>Empat ratus Delapan puluh Lima</v>
          </cell>
          <cell r="V492" t="str">
            <v xml:space="preserve">ribu </v>
          </cell>
          <cell r="W492" t="str">
            <v>ribu</v>
          </cell>
        </row>
        <row r="493">
          <cell r="T493">
            <v>486</v>
          </cell>
          <cell r="U493" t="str">
            <v>Empat ratus Delapan puluh Enam</v>
          </cell>
          <cell r="V493" t="str">
            <v xml:space="preserve">ribu </v>
          </cell>
          <cell r="W493" t="str">
            <v>ribu</v>
          </cell>
        </row>
        <row r="494">
          <cell r="T494">
            <v>487</v>
          </cell>
          <cell r="U494" t="str">
            <v>Empat ratus Delapan puluh Tujuh</v>
          </cell>
          <cell r="V494" t="str">
            <v xml:space="preserve">ribu </v>
          </cell>
          <cell r="W494" t="str">
            <v>ribu</v>
          </cell>
        </row>
        <row r="495">
          <cell r="T495">
            <v>488</v>
          </cell>
          <cell r="U495" t="str">
            <v>Empat ratus Delapan puluh Delapan</v>
          </cell>
          <cell r="V495" t="str">
            <v xml:space="preserve">ribu </v>
          </cell>
          <cell r="W495" t="str">
            <v>ribu</v>
          </cell>
        </row>
        <row r="496">
          <cell r="T496">
            <v>489</v>
          </cell>
          <cell r="U496" t="str">
            <v>Empat ratus Delapan puluh Sembilan</v>
          </cell>
          <cell r="V496" t="str">
            <v xml:space="preserve">ribu </v>
          </cell>
          <cell r="W496" t="str">
            <v>ribu</v>
          </cell>
        </row>
        <row r="497">
          <cell r="T497">
            <v>490</v>
          </cell>
          <cell r="U497" t="str">
            <v xml:space="preserve">Empat ratus Sembilan puluh </v>
          </cell>
          <cell r="V497" t="str">
            <v xml:space="preserve">ribu </v>
          </cell>
          <cell r="W497" t="str">
            <v>ribu</v>
          </cell>
        </row>
        <row r="498">
          <cell r="T498">
            <v>491</v>
          </cell>
          <cell r="U498" t="str">
            <v>Empat ratus Sembilan puluh Satu</v>
          </cell>
          <cell r="V498" t="str">
            <v xml:space="preserve">ribu </v>
          </cell>
          <cell r="W498" t="str">
            <v>ribu</v>
          </cell>
        </row>
        <row r="499">
          <cell r="T499">
            <v>492</v>
          </cell>
          <cell r="U499" t="str">
            <v>Empat ratus Sembilan puluh Dua</v>
          </cell>
          <cell r="V499" t="str">
            <v xml:space="preserve">ribu </v>
          </cell>
          <cell r="W499" t="str">
            <v>ribu</v>
          </cell>
        </row>
        <row r="500">
          <cell r="T500">
            <v>493</v>
          </cell>
          <cell r="U500" t="str">
            <v>Empat ratus Sembilan puluh Tiga</v>
          </cell>
          <cell r="V500" t="str">
            <v xml:space="preserve">ribu </v>
          </cell>
          <cell r="W500" t="str">
            <v>ribu</v>
          </cell>
        </row>
        <row r="501">
          <cell r="T501">
            <v>494</v>
          </cell>
          <cell r="U501" t="str">
            <v>Empat ratus Sembilan puluh Empat</v>
          </cell>
          <cell r="V501" t="str">
            <v xml:space="preserve">ribu </v>
          </cell>
          <cell r="W501" t="str">
            <v>ribu</v>
          </cell>
        </row>
        <row r="502">
          <cell r="T502">
            <v>495</v>
          </cell>
          <cell r="U502" t="str">
            <v>Empat ratus Sembilan puluh Lima</v>
          </cell>
          <cell r="V502" t="str">
            <v xml:space="preserve">ribu </v>
          </cell>
          <cell r="W502" t="str">
            <v>ribu</v>
          </cell>
        </row>
        <row r="503">
          <cell r="T503">
            <v>496</v>
          </cell>
          <cell r="U503" t="str">
            <v>Empat ratus Sembilan puluh Enam</v>
          </cell>
          <cell r="V503" t="str">
            <v xml:space="preserve">ribu </v>
          </cell>
          <cell r="W503" t="str">
            <v>ribu</v>
          </cell>
        </row>
        <row r="504">
          <cell r="T504">
            <v>497</v>
          </cell>
          <cell r="U504" t="str">
            <v>Empat ratus Sembilan puluh Tujuh</v>
          </cell>
          <cell r="V504" t="str">
            <v xml:space="preserve">ribu </v>
          </cell>
          <cell r="W504" t="str">
            <v>ribu</v>
          </cell>
        </row>
        <row r="505">
          <cell r="T505">
            <v>498</v>
          </cell>
          <cell r="U505" t="str">
            <v>Empat ratus Sembilan puluh Delapan</v>
          </cell>
          <cell r="V505" t="str">
            <v xml:space="preserve">ribu </v>
          </cell>
          <cell r="W505" t="str">
            <v>ribu</v>
          </cell>
        </row>
        <row r="506">
          <cell r="T506">
            <v>499</v>
          </cell>
          <cell r="U506" t="str">
            <v>Empat ratus Sembilan puluh Sembilan</v>
          </cell>
          <cell r="V506" t="str">
            <v xml:space="preserve">ribu </v>
          </cell>
          <cell r="W506" t="str">
            <v>ribu</v>
          </cell>
        </row>
        <row r="507">
          <cell r="T507">
            <v>500</v>
          </cell>
          <cell r="U507" t="str">
            <v xml:space="preserve">Lima ratus </v>
          </cell>
          <cell r="V507" t="str">
            <v xml:space="preserve">ribu </v>
          </cell>
          <cell r="W507" t="str">
            <v>ribu</v>
          </cell>
        </row>
        <row r="508">
          <cell r="T508">
            <v>501</v>
          </cell>
          <cell r="U508" t="str">
            <v>Lima ratus Satu</v>
          </cell>
          <cell r="V508" t="str">
            <v xml:space="preserve">ribu </v>
          </cell>
          <cell r="W508" t="str">
            <v>ribu</v>
          </cell>
        </row>
        <row r="509">
          <cell r="T509">
            <v>502</v>
          </cell>
          <cell r="U509" t="str">
            <v>Lima ratus Dua</v>
          </cell>
          <cell r="V509" t="str">
            <v xml:space="preserve">ribu </v>
          </cell>
          <cell r="W509" t="str">
            <v>ribu</v>
          </cell>
        </row>
        <row r="510">
          <cell r="T510">
            <v>503</v>
          </cell>
          <cell r="U510" t="str">
            <v>Lima ratus Tiga</v>
          </cell>
          <cell r="V510" t="str">
            <v xml:space="preserve">ribu </v>
          </cell>
          <cell r="W510" t="str">
            <v>ribu</v>
          </cell>
        </row>
        <row r="511">
          <cell r="T511">
            <v>504</v>
          </cell>
          <cell r="U511" t="str">
            <v>Lima ratus Empat</v>
          </cell>
          <cell r="V511" t="str">
            <v xml:space="preserve">ribu </v>
          </cell>
          <cell r="W511" t="str">
            <v>ribu</v>
          </cell>
        </row>
        <row r="512">
          <cell r="T512">
            <v>505</v>
          </cell>
          <cell r="U512" t="str">
            <v>Lima ratus Lima</v>
          </cell>
          <cell r="V512" t="str">
            <v xml:space="preserve">ribu </v>
          </cell>
          <cell r="W512" t="str">
            <v>ribu</v>
          </cell>
        </row>
        <row r="513">
          <cell r="T513">
            <v>506</v>
          </cell>
          <cell r="U513" t="str">
            <v>Lima ratus Enam</v>
          </cell>
          <cell r="V513" t="str">
            <v xml:space="preserve">ribu </v>
          </cell>
          <cell r="W513" t="str">
            <v>ribu</v>
          </cell>
        </row>
        <row r="514">
          <cell r="T514">
            <v>507</v>
          </cell>
          <cell r="U514" t="str">
            <v>Lima ratus Tujuh</v>
          </cell>
          <cell r="V514" t="str">
            <v xml:space="preserve">ribu </v>
          </cell>
          <cell r="W514" t="str">
            <v>ribu</v>
          </cell>
        </row>
        <row r="515">
          <cell r="T515">
            <v>508</v>
          </cell>
          <cell r="U515" t="str">
            <v>Lima ratus Delapan</v>
          </cell>
          <cell r="V515" t="str">
            <v xml:space="preserve">ribu </v>
          </cell>
          <cell r="W515" t="str">
            <v>ribu</v>
          </cell>
        </row>
        <row r="516">
          <cell r="T516">
            <v>509</v>
          </cell>
          <cell r="U516" t="str">
            <v>Lima ratus Sembilan</v>
          </cell>
          <cell r="V516" t="str">
            <v xml:space="preserve">ribu </v>
          </cell>
          <cell r="W516" t="str">
            <v>ribu</v>
          </cell>
        </row>
        <row r="517">
          <cell r="T517">
            <v>510</v>
          </cell>
          <cell r="U517" t="str">
            <v>Lima ratus Sepuluh</v>
          </cell>
          <cell r="V517" t="str">
            <v xml:space="preserve">ribu </v>
          </cell>
          <cell r="W517" t="str">
            <v>ribu</v>
          </cell>
        </row>
        <row r="518">
          <cell r="T518">
            <v>511</v>
          </cell>
          <cell r="U518" t="str">
            <v>Lima ratus Sebelas</v>
          </cell>
          <cell r="V518" t="str">
            <v xml:space="preserve">ribu </v>
          </cell>
          <cell r="W518" t="str">
            <v>ribu</v>
          </cell>
        </row>
        <row r="519">
          <cell r="T519">
            <v>512</v>
          </cell>
          <cell r="U519" t="str">
            <v>Lima ratus Dua belas</v>
          </cell>
          <cell r="V519" t="str">
            <v xml:space="preserve">ribu </v>
          </cell>
          <cell r="W519" t="str">
            <v>ribu</v>
          </cell>
        </row>
        <row r="520">
          <cell r="T520">
            <v>513</v>
          </cell>
          <cell r="U520" t="str">
            <v>Lima ratus Tiga belas</v>
          </cell>
          <cell r="V520" t="str">
            <v xml:space="preserve">ribu </v>
          </cell>
          <cell r="W520" t="str">
            <v>ribu</v>
          </cell>
        </row>
        <row r="521">
          <cell r="T521">
            <v>514</v>
          </cell>
          <cell r="U521" t="str">
            <v>Lima ratus Empat belas</v>
          </cell>
          <cell r="V521" t="str">
            <v xml:space="preserve">ribu </v>
          </cell>
          <cell r="W521" t="str">
            <v>ribu</v>
          </cell>
        </row>
        <row r="522">
          <cell r="T522">
            <v>515</v>
          </cell>
          <cell r="U522" t="str">
            <v>Lima ratus Lima belas</v>
          </cell>
          <cell r="V522" t="str">
            <v xml:space="preserve">ribu </v>
          </cell>
          <cell r="W522" t="str">
            <v>ribu</v>
          </cell>
        </row>
        <row r="523">
          <cell r="T523">
            <v>516</v>
          </cell>
          <cell r="U523" t="str">
            <v>Lima ratus Enam belas</v>
          </cell>
          <cell r="V523" t="str">
            <v xml:space="preserve">ribu </v>
          </cell>
          <cell r="W523" t="str">
            <v>ribu</v>
          </cell>
        </row>
        <row r="524">
          <cell r="T524">
            <v>517</v>
          </cell>
          <cell r="U524" t="str">
            <v>Lima ratus Tujuh belas</v>
          </cell>
          <cell r="V524" t="str">
            <v xml:space="preserve">ribu </v>
          </cell>
          <cell r="W524" t="str">
            <v>ribu</v>
          </cell>
        </row>
        <row r="525">
          <cell r="T525">
            <v>518</v>
          </cell>
          <cell r="U525" t="str">
            <v>Lima ratus Delapan belas</v>
          </cell>
          <cell r="V525" t="str">
            <v xml:space="preserve">ribu </v>
          </cell>
          <cell r="W525" t="str">
            <v>ribu</v>
          </cell>
        </row>
        <row r="526">
          <cell r="T526">
            <v>519</v>
          </cell>
          <cell r="U526" t="str">
            <v>Lima ratus Sembilan belas</v>
          </cell>
          <cell r="V526" t="str">
            <v xml:space="preserve">ribu </v>
          </cell>
          <cell r="W526" t="str">
            <v>ribu</v>
          </cell>
        </row>
        <row r="527">
          <cell r="T527">
            <v>520</v>
          </cell>
          <cell r="U527" t="str">
            <v xml:space="preserve">Lima ratus Dua puluh </v>
          </cell>
          <cell r="V527" t="str">
            <v xml:space="preserve">ribu </v>
          </cell>
          <cell r="W527" t="str">
            <v>ribu</v>
          </cell>
        </row>
        <row r="528">
          <cell r="T528">
            <v>521</v>
          </cell>
          <cell r="U528" t="str">
            <v>Lima ratus Dua puluh Satu</v>
          </cell>
          <cell r="V528" t="str">
            <v xml:space="preserve">ribu </v>
          </cell>
          <cell r="W528" t="str">
            <v>ribu</v>
          </cell>
        </row>
        <row r="529">
          <cell r="T529">
            <v>522</v>
          </cell>
          <cell r="U529" t="str">
            <v>Lima ratus Dua puluh Dua</v>
          </cell>
          <cell r="V529" t="str">
            <v xml:space="preserve">ribu </v>
          </cell>
          <cell r="W529" t="str">
            <v>ribu</v>
          </cell>
        </row>
        <row r="530">
          <cell r="T530">
            <v>523</v>
          </cell>
          <cell r="U530" t="str">
            <v>Lima ratus Dua puluh Tiga</v>
          </cell>
          <cell r="V530" t="str">
            <v xml:space="preserve">ribu </v>
          </cell>
          <cell r="W530" t="str">
            <v>ribu</v>
          </cell>
        </row>
        <row r="531">
          <cell r="T531">
            <v>524</v>
          </cell>
          <cell r="U531" t="str">
            <v>Lima ratus Dua puluh Empat</v>
          </cell>
          <cell r="V531" t="str">
            <v xml:space="preserve">ribu </v>
          </cell>
          <cell r="W531" t="str">
            <v>ribu</v>
          </cell>
        </row>
        <row r="532">
          <cell r="T532">
            <v>525</v>
          </cell>
          <cell r="U532" t="str">
            <v>Lima ratus Dua puluh Lima</v>
          </cell>
          <cell r="V532" t="str">
            <v xml:space="preserve">ribu </v>
          </cell>
          <cell r="W532" t="str">
            <v>ribu</v>
          </cell>
        </row>
        <row r="533">
          <cell r="T533">
            <v>526</v>
          </cell>
          <cell r="U533" t="str">
            <v>Lima ratus Dua puluh Enam</v>
          </cell>
          <cell r="V533" t="str">
            <v xml:space="preserve">ribu </v>
          </cell>
          <cell r="W533" t="str">
            <v>ribu</v>
          </cell>
        </row>
        <row r="534">
          <cell r="T534">
            <v>527</v>
          </cell>
          <cell r="U534" t="str">
            <v>Lima ratus Dua puluh Tujuh</v>
          </cell>
          <cell r="V534" t="str">
            <v xml:space="preserve">ribu </v>
          </cell>
          <cell r="W534" t="str">
            <v>ribu</v>
          </cell>
        </row>
        <row r="535">
          <cell r="T535">
            <v>528</v>
          </cell>
          <cell r="U535" t="str">
            <v>Lima ratus Dua puluh Delapan</v>
          </cell>
          <cell r="V535" t="str">
            <v xml:space="preserve">ribu </v>
          </cell>
          <cell r="W535" t="str">
            <v>ribu</v>
          </cell>
        </row>
        <row r="536">
          <cell r="T536">
            <v>529</v>
          </cell>
          <cell r="U536" t="str">
            <v>Lima ratus Dua puluh Sembilan</v>
          </cell>
          <cell r="V536" t="str">
            <v xml:space="preserve">ribu </v>
          </cell>
          <cell r="W536" t="str">
            <v>ribu</v>
          </cell>
        </row>
        <row r="537">
          <cell r="T537">
            <v>530</v>
          </cell>
          <cell r="U537" t="str">
            <v xml:space="preserve">Lima ratus Tiga puluh </v>
          </cell>
          <cell r="V537" t="str">
            <v xml:space="preserve">ribu </v>
          </cell>
          <cell r="W537" t="str">
            <v>ribu</v>
          </cell>
        </row>
        <row r="538">
          <cell r="T538">
            <v>531</v>
          </cell>
          <cell r="U538" t="str">
            <v>Lima ratus Tiga puluh Satu</v>
          </cell>
          <cell r="V538" t="str">
            <v xml:space="preserve">ribu </v>
          </cell>
          <cell r="W538" t="str">
            <v>ribu</v>
          </cell>
        </row>
        <row r="539">
          <cell r="T539">
            <v>532</v>
          </cell>
          <cell r="U539" t="str">
            <v>Lima ratus Tiga puluh Dua</v>
          </cell>
          <cell r="V539" t="str">
            <v xml:space="preserve">ribu </v>
          </cell>
          <cell r="W539" t="str">
            <v>ribu</v>
          </cell>
        </row>
        <row r="540">
          <cell r="T540">
            <v>533</v>
          </cell>
          <cell r="U540" t="str">
            <v>Lima ratus Tiga puluh Tiga</v>
          </cell>
          <cell r="V540" t="str">
            <v xml:space="preserve">ribu </v>
          </cell>
          <cell r="W540" t="str">
            <v>ribu</v>
          </cell>
        </row>
        <row r="541">
          <cell r="T541">
            <v>534</v>
          </cell>
          <cell r="U541" t="str">
            <v>Lima ratus Tiga puluh Empat</v>
          </cell>
          <cell r="V541" t="str">
            <v xml:space="preserve">ribu </v>
          </cell>
          <cell r="W541" t="str">
            <v>ribu</v>
          </cell>
        </row>
        <row r="542">
          <cell r="T542">
            <v>535</v>
          </cell>
          <cell r="U542" t="str">
            <v>Lima ratus Tiga puluh Lima</v>
          </cell>
          <cell r="V542" t="str">
            <v xml:space="preserve">ribu </v>
          </cell>
          <cell r="W542" t="str">
            <v>ribu</v>
          </cell>
        </row>
        <row r="543">
          <cell r="T543">
            <v>536</v>
          </cell>
          <cell r="U543" t="str">
            <v>Lima ratus Tiga puluh Enam</v>
          </cell>
          <cell r="V543" t="str">
            <v xml:space="preserve">ribu </v>
          </cell>
          <cell r="W543" t="str">
            <v>ribu</v>
          </cell>
        </row>
        <row r="544">
          <cell r="T544">
            <v>537</v>
          </cell>
          <cell r="U544" t="str">
            <v>Lima ratus Tiga puluh Tujuh</v>
          </cell>
          <cell r="V544" t="str">
            <v xml:space="preserve">ribu </v>
          </cell>
          <cell r="W544" t="str">
            <v>ribu</v>
          </cell>
        </row>
        <row r="545">
          <cell r="T545">
            <v>538</v>
          </cell>
          <cell r="U545" t="str">
            <v>Lima ratus Tiga puluh Delapan</v>
          </cell>
          <cell r="V545" t="str">
            <v xml:space="preserve">ribu </v>
          </cell>
          <cell r="W545" t="str">
            <v>ribu</v>
          </cell>
        </row>
        <row r="546">
          <cell r="T546">
            <v>539</v>
          </cell>
          <cell r="U546" t="str">
            <v>Lima ratus Tiga puluh Sembilan</v>
          </cell>
          <cell r="V546" t="str">
            <v xml:space="preserve">ribu </v>
          </cell>
          <cell r="W546" t="str">
            <v>ribu</v>
          </cell>
        </row>
        <row r="547">
          <cell r="T547">
            <v>540</v>
          </cell>
          <cell r="U547" t="str">
            <v xml:space="preserve">Lima ratus Empat puluh </v>
          </cell>
          <cell r="V547" t="str">
            <v xml:space="preserve">ribu </v>
          </cell>
          <cell r="W547" t="str">
            <v>ribu</v>
          </cell>
        </row>
        <row r="548">
          <cell r="T548">
            <v>541</v>
          </cell>
          <cell r="U548" t="str">
            <v>Lima ratus Empat puluh Satu</v>
          </cell>
          <cell r="V548" t="str">
            <v xml:space="preserve">ribu </v>
          </cell>
          <cell r="W548" t="str">
            <v>ribu</v>
          </cell>
        </row>
        <row r="549">
          <cell r="T549">
            <v>542</v>
          </cell>
          <cell r="U549" t="str">
            <v>Lima ratus Empat puluh Dua</v>
          </cell>
          <cell r="V549" t="str">
            <v xml:space="preserve">ribu </v>
          </cell>
          <cell r="W549" t="str">
            <v>ribu</v>
          </cell>
        </row>
        <row r="550">
          <cell r="T550">
            <v>543</v>
          </cell>
          <cell r="U550" t="str">
            <v>Lima ratus Empat puluh Tiga</v>
          </cell>
          <cell r="V550" t="str">
            <v xml:space="preserve">ribu </v>
          </cell>
          <cell r="W550" t="str">
            <v>ribu</v>
          </cell>
        </row>
        <row r="551">
          <cell r="T551">
            <v>544</v>
          </cell>
          <cell r="U551" t="str">
            <v>Lima ratus Empat puluh Empat</v>
          </cell>
          <cell r="V551" t="str">
            <v xml:space="preserve">ribu </v>
          </cell>
          <cell r="W551" t="str">
            <v>ribu</v>
          </cell>
        </row>
        <row r="552">
          <cell r="T552">
            <v>545</v>
          </cell>
          <cell r="U552" t="str">
            <v>Lima ratus Empat puluh Lima</v>
          </cell>
          <cell r="V552" t="str">
            <v xml:space="preserve">ribu </v>
          </cell>
          <cell r="W552" t="str">
            <v>ribu</v>
          </cell>
        </row>
        <row r="553">
          <cell r="T553">
            <v>546</v>
          </cell>
          <cell r="U553" t="str">
            <v>Lima ratus Empat puluh Enam</v>
          </cell>
          <cell r="V553" t="str">
            <v xml:space="preserve">ribu </v>
          </cell>
          <cell r="W553" t="str">
            <v>ribu</v>
          </cell>
        </row>
        <row r="554">
          <cell r="T554">
            <v>547</v>
          </cell>
          <cell r="U554" t="str">
            <v>Lima ratus Empat puluh Tujuh</v>
          </cell>
          <cell r="V554" t="str">
            <v xml:space="preserve">ribu </v>
          </cell>
          <cell r="W554" t="str">
            <v>ribu</v>
          </cell>
        </row>
        <row r="555">
          <cell r="T555">
            <v>548</v>
          </cell>
          <cell r="U555" t="str">
            <v>Lima ratus Empat puluh Delapan</v>
          </cell>
          <cell r="V555" t="str">
            <v xml:space="preserve">ribu </v>
          </cell>
          <cell r="W555" t="str">
            <v>ribu</v>
          </cell>
        </row>
        <row r="556">
          <cell r="T556">
            <v>549</v>
          </cell>
          <cell r="U556" t="str">
            <v>Lima ratus Empat puluh Sembilan</v>
          </cell>
          <cell r="V556" t="str">
            <v xml:space="preserve">ribu </v>
          </cell>
          <cell r="W556" t="str">
            <v>ribu</v>
          </cell>
        </row>
        <row r="557">
          <cell r="T557">
            <v>550</v>
          </cell>
          <cell r="U557" t="str">
            <v xml:space="preserve">Lima ratus Lima puluh </v>
          </cell>
          <cell r="V557" t="str">
            <v xml:space="preserve">ribu </v>
          </cell>
          <cell r="W557" t="str">
            <v>ribu</v>
          </cell>
        </row>
        <row r="558">
          <cell r="T558">
            <v>551</v>
          </cell>
          <cell r="U558" t="str">
            <v>Lima ratus Lima puluh Satu</v>
          </cell>
          <cell r="V558" t="str">
            <v xml:space="preserve">ribu </v>
          </cell>
          <cell r="W558" t="str">
            <v>ribu</v>
          </cell>
        </row>
        <row r="559">
          <cell r="T559">
            <v>552</v>
          </cell>
          <cell r="U559" t="str">
            <v>Lima ratus Lima puluh Dua</v>
          </cell>
          <cell r="V559" t="str">
            <v xml:space="preserve">ribu </v>
          </cell>
          <cell r="W559" t="str">
            <v>ribu</v>
          </cell>
        </row>
        <row r="560">
          <cell r="T560">
            <v>553</v>
          </cell>
          <cell r="U560" t="str">
            <v>Lima ratus Lima puluh Tiga</v>
          </cell>
          <cell r="V560" t="str">
            <v xml:space="preserve">ribu </v>
          </cell>
          <cell r="W560" t="str">
            <v>ribu</v>
          </cell>
        </row>
        <row r="561">
          <cell r="T561">
            <v>554</v>
          </cell>
          <cell r="U561" t="str">
            <v>Lima ratus Lima puluh Empat</v>
          </cell>
          <cell r="V561" t="str">
            <v xml:space="preserve">ribu </v>
          </cell>
          <cell r="W561" t="str">
            <v>ribu</v>
          </cell>
        </row>
        <row r="562">
          <cell r="T562">
            <v>555</v>
          </cell>
          <cell r="U562" t="str">
            <v>Lima ratus Lima puluh Lima</v>
          </cell>
          <cell r="V562" t="str">
            <v xml:space="preserve">ribu </v>
          </cell>
          <cell r="W562" t="str">
            <v>ribu</v>
          </cell>
        </row>
        <row r="563">
          <cell r="T563">
            <v>556</v>
          </cell>
          <cell r="U563" t="str">
            <v>Lima ratus Lima puluh Enam</v>
          </cell>
          <cell r="V563" t="str">
            <v xml:space="preserve">ribu </v>
          </cell>
          <cell r="W563" t="str">
            <v>ribu</v>
          </cell>
        </row>
        <row r="564">
          <cell r="T564">
            <v>557</v>
          </cell>
          <cell r="U564" t="str">
            <v>Lima ratus Lima puluh Tujuh</v>
          </cell>
          <cell r="V564" t="str">
            <v xml:space="preserve">ribu </v>
          </cell>
          <cell r="W564" t="str">
            <v>ribu</v>
          </cell>
        </row>
        <row r="565">
          <cell r="T565">
            <v>558</v>
          </cell>
          <cell r="U565" t="str">
            <v>Lima ratus Lima puluh Delapan</v>
          </cell>
          <cell r="V565" t="str">
            <v xml:space="preserve">ribu </v>
          </cell>
          <cell r="W565" t="str">
            <v>ribu</v>
          </cell>
        </row>
        <row r="566">
          <cell r="T566">
            <v>559</v>
          </cell>
          <cell r="U566" t="str">
            <v>Lima ratus Lima puluh Sembilan</v>
          </cell>
          <cell r="V566" t="str">
            <v xml:space="preserve">ribu </v>
          </cell>
          <cell r="W566" t="str">
            <v>ribu</v>
          </cell>
        </row>
        <row r="567">
          <cell r="T567">
            <v>560</v>
          </cell>
          <cell r="U567" t="str">
            <v xml:space="preserve">Lima ratus Enam puluh </v>
          </cell>
          <cell r="V567" t="str">
            <v xml:space="preserve">ribu </v>
          </cell>
          <cell r="W567" t="str">
            <v>ribu</v>
          </cell>
        </row>
        <row r="568">
          <cell r="T568">
            <v>561</v>
          </cell>
          <cell r="U568" t="str">
            <v>Lima ratus Enam puluh Satu</v>
          </cell>
          <cell r="V568" t="str">
            <v xml:space="preserve">ribu </v>
          </cell>
          <cell r="W568" t="str">
            <v>ribu</v>
          </cell>
        </row>
        <row r="569">
          <cell r="T569">
            <v>562</v>
          </cell>
          <cell r="U569" t="str">
            <v>Lima ratus Enam puluh Dua</v>
          </cell>
          <cell r="V569" t="str">
            <v xml:space="preserve">ribu </v>
          </cell>
          <cell r="W569" t="str">
            <v>ribu</v>
          </cell>
        </row>
        <row r="570">
          <cell r="T570">
            <v>563</v>
          </cell>
          <cell r="U570" t="str">
            <v>Lima ratus Enam puluh Tiga</v>
          </cell>
          <cell r="V570" t="str">
            <v xml:space="preserve">ribu </v>
          </cell>
          <cell r="W570" t="str">
            <v>ribu</v>
          </cell>
        </row>
        <row r="571">
          <cell r="T571">
            <v>564</v>
          </cell>
          <cell r="U571" t="str">
            <v>Lima ratus Enam puluh Empat</v>
          </cell>
          <cell r="V571" t="str">
            <v xml:space="preserve">ribu </v>
          </cell>
          <cell r="W571" t="str">
            <v>ribu</v>
          </cell>
        </row>
        <row r="572">
          <cell r="T572">
            <v>565</v>
          </cell>
          <cell r="U572" t="str">
            <v>Lima ratus Enam puluh Lima</v>
          </cell>
          <cell r="V572" t="str">
            <v xml:space="preserve">ribu </v>
          </cell>
          <cell r="W572" t="str">
            <v>ribu</v>
          </cell>
        </row>
        <row r="573">
          <cell r="T573">
            <v>566</v>
          </cell>
          <cell r="U573" t="str">
            <v>Lima ratus Enam puluh Enam</v>
          </cell>
          <cell r="V573" t="str">
            <v xml:space="preserve">ribu </v>
          </cell>
          <cell r="W573" t="str">
            <v>ribu</v>
          </cell>
        </row>
        <row r="574">
          <cell r="T574">
            <v>567</v>
          </cell>
          <cell r="U574" t="str">
            <v>Lima ratus Enam puluh Tujuh</v>
          </cell>
          <cell r="V574" t="str">
            <v xml:space="preserve">ribu </v>
          </cell>
          <cell r="W574" t="str">
            <v>ribu</v>
          </cell>
        </row>
        <row r="575">
          <cell r="T575">
            <v>568</v>
          </cell>
          <cell r="U575" t="str">
            <v>Lima ratus Enam puluh Delapan</v>
          </cell>
          <cell r="V575" t="str">
            <v xml:space="preserve">ribu </v>
          </cell>
          <cell r="W575" t="str">
            <v>ribu</v>
          </cell>
        </row>
        <row r="576">
          <cell r="T576">
            <v>569</v>
          </cell>
          <cell r="U576" t="str">
            <v>Lima ratus Enam puluh Sembilan</v>
          </cell>
          <cell r="V576" t="str">
            <v xml:space="preserve">ribu </v>
          </cell>
          <cell r="W576" t="str">
            <v>ribu</v>
          </cell>
        </row>
        <row r="577">
          <cell r="T577">
            <v>570</v>
          </cell>
          <cell r="U577" t="str">
            <v xml:space="preserve">Lima ratus Tujuh puluh </v>
          </cell>
          <cell r="V577" t="str">
            <v xml:space="preserve">ribu </v>
          </cell>
          <cell r="W577" t="str">
            <v>ribu</v>
          </cell>
        </row>
        <row r="578">
          <cell r="T578">
            <v>571</v>
          </cell>
          <cell r="U578" t="str">
            <v>Lima ratus Tujuh puluh Satu</v>
          </cell>
          <cell r="V578" t="str">
            <v xml:space="preserve">ribu </v>
          </cell>
          <cell r="W578" t="str">
            <v>ribu</v>
          </cell>
        </row>
        <row r="579">
          <cell r="T579">
            <v>572</v>
          </cell>
          <cell r="U579" t="str">
            <v>Lima ratus Tujuh puluh Dua</v>
          </cell>
          <cell r="V579" t="str">
            <v xml:space="preserve">ribu </v>
          </cell>
          <cell r="W579" t="str">
            <v>ribu</v>
          </cell>
        </row>
        <row r="580">
          <cell r="T580">
            <v>573</v>
          </cell>
          <cell r="U580" t="str">
            <v>Lima ratus Tujuh puluh Tiga</v>
          </cell>
          <cell r="V580" t="str">
            <v xml:space="preserve">ribu </v>
          </cell>
          <cell r="W580" t="str">
            <v>ribu</v>
          </cell>
        </row>
        <row r="581">
          <cell r="T581">
            <v>574</v>
          </cell>
          <cell r="U581" t="str">
            <v>Lima ratus Tujuh puluh Empat</v>
          </cell>
          <cell r="V581" t="str">
            <v xml:space="preserve">ribu </v>
          </cell>
          <cell r="W581" t="str">
            <v>ribu</v>
          </cell>
        </row>
        <row r="582">
          <cell r="T582">
            <v>575</v>
          </cell>
          <cell r="U582" t="str">
            <v>Lima ratus Tujuh puluh Lima</v>
          </cell>
          <cell r="V582" t="str">
            <v xml:space="preserve">ribu </v>
          </cell>
          <cell r="W582" t="str">
            <v>ribu</v>
          </cell>
        </row>
        <row r="583">
          <cell r="T583">
            <v>576</v>
          </cell>
          <cell r="U583" t="str">
            <v>Lima ratus Tujuh puluh Enam</v>
          </cell>
          <cell r="V583" t="str">
            <v xml:space="preserve">ribu </v>
          </cell>
          <cell r="W583" t="str">
            <v>ribu</v>
          </cell>
        </row>
        <row r="584">
          <cell r="T584">
            <v>577</v>
          </cell>
          <cell r="U584" t="str">
            <v>Lima ratus Tujuh puluh Tujuh</v>
          </cell>
          <cell r="V584" t="str">
            <v xml:space="preserve">ribu </v>
          </cell>
          <cell r="W584" t="str">
            <v>ribu</v>
          </cell>
        </row>
        <row r="585">
          <cell r="T585">
            <v>578</v>
          </cell>
          <cell r="U585" t="str">
            <v>Lima ratus Tujuh puluh Delapan</v>
          </cell>
          <cell r="V585" t="str">
            <v xml:space="preserve">ribu </v>
          </cell>
          <cell r="W585" t="str">
            <v>ribu</v>
          </cell>
        </row>
        <row r="586">
          <cell r="T586">
            <v>579</v>
          </cell>
          <cell r="U586" t="str">
            <v>Lima ratus Tujuh puluh Sembilan</v>
          </cell>
          <cell r="V586" t="str">
            <v xml:space="preserve">ribu </v>
          </cell>
          <cell r="W586" t="str">
            <v>ribu</v>
          </cell>
        </row>
        <row r="587">
          <cell r="T587">
            <v>580</v>
          </cell>
          <cell r="U587" t="str">
            <v xml:space="preserve">Lima ratus Delapan puluh </v>
          </cell>
          <cell r="V587" t="str">
            <v xml:space="preserve">ribu </v>
          </cell>
          <cell r="W587" t="str">
            <v>ribu</v>
          </cell>
        </row>
        <row r="588">
          <cell r="T588">
            <v>581</v>
          </cell>
          <cell r="U588" t="str">
            <v>Lima ratus Delapan puluh Satu</v>
          </cell>
          <cell r="V588" t="str">
            <v xml:space="preserve">ribu </v>
          </cell>
          <cell r="W588" t="str">
            <v>ribu</v>
          </cell>
        </row>
        <row r="589">
          <cell r="T589">
            <v>582</v>
          </cell>
          <cell r="U589" t="str">
            <v>Lima ratus Delapan puluh Dua</v>
          </cell>
          <cell r="V589" t="str">
            <v xml:space="preserve">ribu </v>
          </cell>
          <cell r="W589" t="str">
            <v>ribu</v>
          </cell>
        </row>
        <row r="590">
          <cell r="T590">
            <v>583</v>
          </cell>
          <cell r="U590" t="str">
            <v>Lima ratus Delapan puluh Tiga</v>
          </cell>
          <cell r="V590" t="str">
            <v xml:space="preserve">ribu </v>
          </cell>
          <cell r="W590" t="str">
            <v>ribu</v>
          </cell>
        </row>
        <row r="591">
          <cell r="T591">
            <v>584</v>
          </cell>
          <cell r="U591" t="str">
            <v>Lima ratus Delapan puluh Empat</v>
          </cell>
          <cell r="V591" t="str">
            <v xml:space="preserve">ribu </v>
          </cell>
          <cell r="W591" t="str">
            <v>ribu</v>
          </cell>
        </row>
        <row r="592">
          <cell r="T592">
            <v>585</v>
          </cell>
          <cell r="U592" t="str">
            <v>Lima ratus Delapan puluh Lima</v>
          </cell>
          <cell r="V592" t="str">
            <v xml:space="preserve">ribu </v>
          </cell>
          <cell r="W592" t="str">
            <v>ribu</v>
          </cell>
        </row>
        <row r="593">
          <cell r="T593">
            <v>586</v>
          </cell>
          <cell r="U593" t="str">
            <v>Lima ratus Delapan puluh Enam</v>
          </cell>
          <cell r="V593" t="str">
            <v xml:space="preserve">ribu </v>
          </cell>
          <cell r="W593" t="str">
            <v>ribu</v>
          </cell>
        </row>
        <row r="594">
          <cell r="T594">
            <v>587</v>
          </cell>
          <cell r="U594" t="str">
            <v>Lima ratus Delapan puluh Tujuh</v>
          </cell>
          <cell r="V594" t="str">
            <v xml:space="preserve">ribu </v>
          </cell>
          <cell r="W594" t="str">
            <v>ribu</v>
          </cell>
        </row>
        <row r="595">
          <cell r="T595">
            <v>588</v>
          </cell>
          <cell r="U595" t="str">
            <v>Lima ratus Delapan puluh Delapan</v>
          </cell>
          <cell r="V595" t="str">
            <v xml:space="preserve">ribu </v>
          </cell>
          <cell r="W595" t="str">
            <v>ribu</v>
          </cell>
        </row>
        <row r="596">
          <cell r="T596">
            <v>589</v>
          </cell>
          <cell r="U596" t="str">
            <v>Lima ratus Delapan puluh Sembilan</v>
          </cell>
          <cell r="V596" t="str">
            <v xml:space="preserve">ribu </v>
          </cell>
          <cell r="W596" t="str">
            <v>ribu</v>
          </cell>
        </row>
        <row r="597">
          <cell r="T597">
            <v>590</v>
          </cell>
          <cell r="U597" t="str">
            <v xml:space="preserve">Lima ratus Sembilan puluh </v>
          </cell>
          <cell r="V597" t="str">
            <v xml:space="preserve">ribu </v>
          </cell>
          <cell r="W597" t="str">
            <v>ribu</v>
          </cell>
        </row>
        <row r="598">
          <cell r="T598">
            <v>591</v>
          </cell>
          <cell r="U598" t="str">
            <v>Lima ratus Sembilan puluh Satu</v>
          </cell>
          <cell r="V598" t="str">
            <v xml:space="preserve">ribu </v>
          </cell>
          <cell r="W598" t="str">
            <v>ribu</v>
          </cell>
        </row>
        <row r="599">
          <cell r="T599">
            <v>592</v>
          </cell>
          <cell r="U599" t="str">
            <v>Lima ratus Sembilan puluh Dua</v>
          </cell>
          <cell r="V599" t="str">
            <v xml:space="preserve">ribu </v>
          </cell>
          <cell r="W599" t="str">
            <v>ribu</v>
          </cell>
        </row>
        <row r="600">
          <cell r="T600">
            <v>593</v>
          </cell>
          <cell r="U600" t="str">
            <v>Lima ratus Sembilan puluh Tiga</v>
          </cell>
          <cell r="V600" t="str">
            <v xml:space="preserve">ribu </v>
          </cell>
          <cell r="W600" t="str">
            <v>ribu</v>
          </cell>
        </row>
        <row r="601">
          <cell r="T601">
            <v>594</v>
          </cell>
          <cell r="U601" t="str">
            <v>Lima ratus Sembilan puluh Empat</v>
          </cell>
          <cell r="V601" t="str">
            <v xml:space="preserve">ribu </v>
          </cell>
          <cell r="W601" t="str">
            <v>ribu</v>
          </cell>
        </row>
        <row r="602">
          <cell r="T602">
            <v>595</v>
          </cell>
          <cell r="U602" t="str">
            <v>Lima ratus Sembilan puluh Lima</v>
          </cell>
          <cell r="V602" t="str">
            <v xml:space="preserve">ribu </v>
          </cell>
          <cell r="W602" t="str">
            <v>ribu</v>
          </cell>
        </row>
        <row r="603">
          <cell r="T603">
            <v>596</v>
          </cell>
          <cell r="U603" t="str">
            <v>Lima ratus Sembilan puluh Enam</v>
          </cell>
          <cell r="V603" t="str">
            <v xml:space="preserve">ribu </v>
          </cell>
          <cell r="W603" t="str">
            <v>ribu</v>
          </cell>
        </row>
        <row r="604">
          <cell r="T604">
            <v>597</v>
          </cell>
          <cell r="U604" t="str">
            <v>Lima ratus Sembilan puluh Tujuh</v>
          </cell>
          <cell r="V604" t="str">
            <v xml:space="preserve">ribu </v>
          </cell>
          <cell r="W604" t="str">
            <v>ribu</v>
          </cell>
        </row>
        <row r="605">
          <cell r="T605">
            <v>598</v>
          </cell>
          <cell r="U605" t="str">
            <v>Lima ratus Sembilan puluh Delapan</v>
          </cell>
          <cell r="V605" t="str">
            <v xml:space="preserve">ribu </v>
          </cell>
          <cell r="W605" t="str">
            <v>ribu</v>
          </cell>
        </row>
        <row r="606">
          <cell r="T606">
            <v>599</v>
          </cell>
          <cell r="U606" t="str">
            <v>Lima ratus Sembilan puluh Sembilan</v>
          </cell>
          <cell r="V606" t="str">
            <v xml:space="preserve">ribu </v>
          </cell>
          <cell r="W606" t="str">
            <v>ribu</v>
          </cell>
        </row>
        <row r="607">
          <cell r="T607">
            <v>600</v>
          </cell>
          <cell r="U607" t="str">
            <v xml:space="preserve">Enam ratus </v>
          </cell>
          <cell r="V607" t="str">
            <v xml:space="preserve">ribu </v>
          </cell>
          <cell r="W607" t="str">
            <v>ribu</v>
          </cell>
        </row>
        <row r="608">
          <cell r="T608">
            <v>601</v>
          </cell>
          <cell r="U608" t="str">
            <v>Enam ratus Satu</v>
          </cell>
          <cell r="V608" t="str">
            <v xml:space="preserve">ribu </v>
          </cell>
          <cell r="W608" t="str">
            <v>ribu</v>
          </cell>
        </row>
        <row r="609">
          <cell r="T609">
            <v>602</v>
          </cell>
          <cell r="U609" t="str">
            <v>Enam ratus Dua</v>
          </cell>
          <cell r="V609" t="str">
            <v xml:space="preserve">ribu </v>
          </cell>
          <cell r="W609" t="str">
            <v>ribu</v>
          </cell>
        </row>
        <row r="610">
          <cell r="T610">
            <v>603</v>
          </cell>
          <cell r="U610" t="str">
            <v>Enam ratus Tiga</v>
          </cell>
          <cell r="V610" t="str">
            <v xml:space="preserve">ribu </v>
          </cell>
          <cell r="W610" t="str">
            <v>ribu</v>
          </cell>
        </row>
        <row r="611">
          <cell r="T611">
            <v>604</v>
          </cell>
          <cell r="U611" t="str">
            <v>Enam ratus Empat</v>
          </cell>
          <cell r="V611" t="str">
            <v xml:space="preserve">ribu </v>
          </cell>
          <cell r="W611" t="str">
            <v>ribu</v>
          </cell>
        </row>
        <row r="612">
          <cell r="T612">
            <v>605</v>
          </cell>
          <cell r="U612" t="str">
            <v>Enam ratus Lima</v>
          </cell>
          <cell r="V612" t="str">
            <v xml:space="preserve">ribu </v>
          </cell>
          <cell r="W612" t="str">
            <v>ribu</v>
          </cell>
        </row>
        <row r="613">
          <cell r="T613">
            <v>606</v>
          </cell>
          <cell r="U613" t="str">
            <v>Enam ratus Enam</v>
          </cell>
          <cell r="V613" t="str">
            <v xml:space="preserve">ribu </v>
          </cell>
          <cell r="W613" t="str">
            <v>ribu</v>
          </cell>
        </row>
        <row r="614">
          <cell r="T614">
            <v>607</v>
          </cell>
          <cell r="U614" t="str">
            <v>Enam ratus Tujuh</v>
          </cell>
          <cell r="V614" t="str">
            <v xml:space="preserve">ribu </v>
          </cell>
          <cell r="W614" t="str">
            <v>ribu</v>
          </cell>
        </row>
        <row r="615">
          <cell r="T615">
            <v>608</v>
          </cell>
          <cell r="U615" t="str">
            <v>Enam ratus Delapan</v>
          </cell>
          <cell r="V615" t="str">
            <v xml:space="preserve">ribu </v>
          </cell>
          <cell r="W615" t="str">
            <v>ribu</v>
          </cell>
        </row>
        <row r="616">
          <cell r="T616">
            <v>609</v>
          </cell>
          <cell r="U616" t="str">
            <v>Enam ratus Sembilan</v>
          </cell>
          <cell r="V616" t="str">
            <v xml:space="preserve">ribu </v>
          </cell>
          <cell r="W616" t="str">
            <v>ribu</v>
          </cell>
        </row>
        <row r="617">
          <cell r="T617">
            <v>610</v>
          </cell>
          <cell r="U617" t="str">
            <v>Enam ratus Sepuluh</v>
          </cell>
          <cell r="V617" t="str">
            <v xml:space="preserve">ribu </v>
          </cell>
          <cell r="W617" t="str">
            <v>ribu</v>
          </cell>
        </row>
        <row r="618">
          <cell r="T618">
            <v>611</v>
          </cell>
          <cell r="U618" t="str">
            <v>Enam ratus Sebelas</v>
          </cell>
          <cell r="V618" t="str">
            <v xml:space="preserve">ribu </v>
          </cell>
          <cell r="W618" t="str">
            <v>ribu</v>
          </cell>
        </row>
        <row r="619">
          <cell r="T619">
            <v>612</v>
          </cell>
          <cell r="U619" t="str">
            <v>Enam ratus Dua belas</v>
          </cell>
          <cell r="V619" t="str">
            <v xml:space="preserve">ribu </v>
          </cell>
          <cell r="W619" t="str">
            <v>ribu</v>
          </cell>
        </row>
        <row r="620">
          <cell r="T620">
            <v>613</v>
          </cell>
          <cell r="U620" t="str">
            <v>Enam ratus Tiga belas</v>
          </cell>
          <cell r="V620" t="str">
            <v xml:space="preserve">ribu </v>
          </cell>
          <cell r="W620" t="str">
            <v>ribu</v>
          </cell>
        </row>
        <row r="621">
          <cell r="T621">
            <v>614</v>
          </cell>
          <cell r="U621" t="str">
            <v>Enam ratus Empat belas</v>
          </cell>
          <cell r="V621" t="str">
            <v xml:space="preserve">ribu </v>
          </cell>
          <cell r="W621" t="str">
            <v>ribu</v>
          </cell>
        </row>
        <row r="622">
          <cell r="T622">
            <v>615</v>
          </cell>
          <cell r="U622" t="str">
            <v>Enam ratus Lima belas</v>
          </cell>
          <cell r="V622" t="str">
            <v xml:space="preserve">ribu </v>
          </cell>
          <cell r="W622" t="str">
            <v>ribu</v>
          </cell>
        </row>
        <row r="623">
          <cell r="T623">
            <v>616</v>
          </cell>
          <cell r="U623" t="str">
            <v>Enam ratus Enam belas</v>
          </cell>
          <cell r="V623" t="str">
            <v xml:space="preserve">ribu </v>
          </cell>
          <cell r="W623" t="str">
            <v>ribu</v>
          </cell>
        </row>
        <row r="624">
          <cell r="T624">
            <v>617</v>
          </cell>
          <cell r="U624" t="str">
            <v>Enam ratus Tujuh belas</v>
          </cell>
          <cell r="V624" t="str">
            <v xml:space="preserve">ribu </v>
          </cell>
          <cell r="W624" t="str">
            <v>ribu</v>
          </cell>
        </row>
        <row r="625">
          <cell r="T625">
            <v>618</v>
          </cell>
          <cell r="U625" t="str">
            <v>Enam ratus Delapan belas</v>
          </cell>
          <cell r="V625" t="str">
            <v xml:space="preserve">ribu </v>
          </cell>
          <cell r="W625" t="str">
            <v>ribu</v>
          </cell>
        </row>
        <row r="626">
          <cell r="T626">
            <v>619</v>
          </cell>
          <cell r="U626" t="str">
            <v>Enam ratus Sembilan belas</v>
          </cell>
          <cell r="V626" t="str">
            <v xml:space="preserve">ribu </v>
          </cell>
          <cell r="W626" t="str">
            <v>ribu</v>
          </cell>
        </row>
        <row r="627">
          <cell r="T627">
            <v>620</v>
          </cell>
          <cell r="U627" t="str">
            <v xml:space="preserve">Enam ratus Dua puluh </v>
          </cell>
          <cell r="V627" t="str">
            <v xml:space="preserve">ribu </v>
          </cell>
          <cell r="W627" t="str">
            <v>ribu</v>
          </cell>
        </row>
        <row r="628">
          <cell r="T628">
            <v>621</v>
          </cell>
          <cell r="U628" t="str">
            <v>Enam ratus Dua puluh Satu</v>
          </cell>
          <cell r="V628" t="str">
            <v xml:space="preserve">ribu </v>
          </cell>
          <cell r="W628" t="str">
            <v>ribu</v>
          </cell>
        </row>
        <row r="629">
          <cell r="T629">
            <v>622</v>
          </cell>
          <cell r="U629" t="str">
            <v>Enam ratus Dua puluh Dua</v>
          </cell>
          <cell r="V629" t="str">
            <v xml:space="preserve">ribu </v>
          </cell>
          <cell r="W629" t="str">
            <v>ribu</v>
          </cell>
        </row>
        <row r="630">
          <cell r="T630">
            <v>623</v>
          </cell>
          <cell r="U630" t="str">
            <v>Enam ratus Dua puluh Tiga</v>
          </cell>
          <cell r="V630" t="str">
            <v xml:space="preserve">ribu </v>
          </cell>
          <cell r="W630" t="str">
            <v>ribu</v>
          </cell>
        </row>
        <row r="631">
          <cell r="T631">
            <v>624</v>
          </cell>
          <cell r="U631" t="str">
            <v>Enam ratus Dua puluh Empat</v>
          </cell>
          <cell r="V631" t="str">
            <v xml:space="preserve">ribu </v>
          </cell>
          <cell r="W631" t="str">
            <v>ribu</v>
          </cell>
        </row>
        <row r="632">
          <cell r="T632">
            <v>625</v>
          </cell>
          <cell r="U632" t="str">
            <v>Enam ratus Dua puluh Lima</v>
          </cell>
          <cell r="V632" t="str">
            <v xml:space="preserve">ribu </v>
          </cell>
          <cell r="W632" t="str">
            <v>ribu</v>
          </cell>
        </row>
        <row r="633">
          <cell r="T633">
            <v>626</v>
          </cell>
          <cell r="U633" t="str">
            <v>Enam ratus Dua puluh Enam</v>
          </cell>
          <cell r="V633" t="str">
            <v xml:space="preserve">ribu </v>
          </cell>
          <cell r="W633" t="str">
            <v>ribu</v>
          </cell>
        </row>
        <row r="634">
          <cell r="T634">
            <v>627</v>
          </cell>
          <cell r="U634" t="str">
            <v>Enam ratus Dua puluh Tujuh</v>
          </cell>
          <cell r="V634" t="str">
            <v xml:space="preserve">ribu </v>
          </cell>
          <cell r="W634" t="str">
            <v>ribu</v>
          </cell>
        </row>
        <row r="635">
          <cell r="T635">
            <v>628</v>
          </cell>
          <cell r="U635" t="str">
            <v>Enam ratus Dua puluh Delapan</v>
          </cell>
          <cell r="V635" t="str">
            <v xml:space="preserve">ribu </v>
          </cell>
          <cell r="W635" t="str">
            <v>ribu</v>
          </cell>
        </row>
        <row r="636">
          <cell r="T636">
            <v>629</v>
          </cell>
          <cell r="U636" t="str">
            <v>Enam ratus Dua puluh Sembilan</v>
          </cell>
          <cell r="V636" t="str">
            <v xml:space="preserve">ribu </v>
          </cell>
          <cell r="W636" t="str">
            <v>ribu</v>
          </cell>
        </row>
        <row r="637">
          <cell r="T637">
            <v>630</v>
          </cell>
          <cell r="U637" t="str">
            <v xml:space="preserve">Enam ratus Tiga puluh </v>
          </cell>
          <cell r="V637" t="str">
            <v xml:space="preserve">ribu </v>
          </cell>
          <cell r="W637" t="str">
            <v>ribu</v>
          </cell>
        </row>
        <row r="638">
          <cell r="T638">
            <v>631</v>
          </cell>
          <cell r="U638" t="str">
            <v>Enam ratus Tiga puluh Satu</v>
          </cell>
          <cell r="V638" t="str">
            <v xml:space="preserve">ribu </v>
          </cell>
          <cell r="W638" t="str">
            <v>ribu</v>
          </cell>
        </row>
        <row r="639">
          <cell r="T639">
            <v>632</v>
          </cell>
          <cell r="U639" t="str">
            <v>Enam ratus Tiga puluh Dua</v>
          </cell>
          <cell r="V639" t="str">
            <v xml:space="preserve">ribu </v>
          </cell>
          <cell r="W639" t="str">
            <v>ribu</v>
          </cell>
        </row>
        <row r="640">
          <cell r="T640">
            <v>633</v>
          </cell>
          <cell r="U640" t="str">
            <v>Enam ratus Tiga puluh Tiga</v>
          </cell>
          <cell r="V640" t="str">
            <v xml:space="preserve">ribu </v>
          </cell>
          <cell r="W640" t="str">
            <v>ribu</v>
          </cell>
        </row>
        <row r="641">
          <cell r="T641">
            <v>634</v>
          </cell>
          <cell r="U641" t="str">
            <v>Enam ratus Tiga puluh Empat</v>
          </cell>
          <cell r="V641" t="str">
            <v xml:space="preserve">ribu </v>
          </cell>
          <cell r="W641" t="str">
            <v>ribu</v>
          </cell>
        </row>
        <row r="642">
          <cell r="T642">
            <v>635</v>
          </cell>
          <cell r="U642" t="str">
            <v>Enam ratus Tiga puluh Lima</v>
          </cell>
          <cell r="V642" t="str">
            <v xml:space="preserve">ribu </v>
          </cell>
          <cell r="W642" t="str">
            <v>ribu</v>
          </cell>
        </row>
        <row r="643">
          <cell r="T643">
            <v>636</v>
          </cell>
          <cell r="U643" t="str">
            <v>Enam ratus Tiga puluh Enam</v>
          </cell>
          <cell r="V643" t="str">
            <v xml:space="preserve">ribu </v>
          </cell>
          <cell r="W643" t="str">
            <v>ribu</v>
          </cell>
        </row>
        <row r="644">
          <cell r="T644">
            <v>637</v>
          </cell>
          <cell r="U644" t="str">
            <v>Enam ratus Tiga puluh Tujuh</v>
          </cell>
          <cell r="V644" t="str">
            <v xml:space="preserve">ribu </v>
          </cell>
          <cell r="W644" t="str">
            <v>ribu</v>
          </cell>
        </row>
        <row r="645">
          <cell r="T645">
            <v>638</v>
          </cell>
          <cell r="U645" t="str">
            <v>Enam ratus Tiga puluh Delapan</v>
          </cell>
          <cell r="V645" t="str">
            <v xml:space="preserve">ribu </v>
          </cell>
          <cell r="W645" t="str">
            <v>ribu</v>
          </cell>
        </row>
        <row r="646">
          <cell r="T646">
            <v>639</v>
          </cell>
          <cell r="U646" t="str">
            <v>Enam ratus Tiga puluh Sembilan</v>
          </cell>
          <cell r="V646" t="str">
            <v xml:space="preserve">ribu </v>
          </cell>
          <cell r="W646" t="str">
            <v>ribu</v>
          </cell>
        </row>
        <row r="647">
          <cell r="T647">
            <v>640</v>
          </cell>
          <cell r="U647" t="str">
            <v xml:space="preserve">Enam ratus Empat puluh </v>
          </cell>
          <cell r="V647" t="str">
            <v xml:space="preserve">ribu </v>
          </cell>
          <cell r="W647" t="str">
            <v>ribu</v>
          </cell>
        </row>
        <row r="648">
          <cell r="T648">
            <v>641</v>
          </cell>
          <cell r="U648" t="str">
            <v>Enam ratus Empat puluh Satu</v>
          </cell>
          <cell r="V648" t="str">
            <v xml:space="preserve">ribu </v>
          </cell>
          <cell r="W648" t="str">
            <v>ribu</v>
          </cell>
        </row>
        <row r="649">
          <cell r="T649">
            <v>642</v>
          </cell>
          <cell r="U649" t="str">
            <v>Enam ratus Empat puluh Dua</v>
          </cell>
          <cell r="V649" t="str">
            <v xml:space="preserve">ribu </v>
          </cell>
          <cell r="W649" t="str">
            <v>ribu</v>
          </cell>
        </row>
        <row r="650">
          <cell r="T650">
            <v>643</v>
          </cell>
          <cell r="U650" t="str">
            <v>Enam ratus Empat puluh Tiga</v>
          </cell>
          <cell r="V650" t="str">
            <v xml:space="preserve">ribu </v>
          </cell>
          <cell r="W650" t="str">
            <v>ribu</v>
          </cell>
        </row>
        <row r="651">
          <cell r="T651">
            <v>644</v>
          </cell>
          <cell r="U651" t="str">
            <v>Enam ratus Empat puluh Empat</v>
          </cell>
          <cell r="V651" t="str">
            <v xml:space="preserve">ribu </v>
          </cell>
          <cell r="W651" t="str">
            <v>ribu</v>
          </cell>
        </row>
        <row r="652">
          <cell r="T652">
            <v>645</v>
          </cell>
          <cell r="U652" t="str">
            <v>Enam ratus Empat puluh Lima</v>
          </cell>
          <cell r="V652" t="str">
            <v xml:space="preserve">ribu </v>
          </cell>
          <cell r="W652" t="str">
            <v>ribu</v>
          </cell>
        </row>
        <row r="653">
          <cell r="T653">
            <v>646</v>
          </cell>
          <cell r="U653" t="str">
            <v>Enam ratus Empat puluh Enam</v>
          </cell>
          <cell r="V653" t="str">
            <v xml:space="preserve">ribu </v>
          </cell>
          <cell r="W653" t="str">
            <v>ribu</v>
          </cell>
        </row>
        <row r="654">
          <cell r="T654">
            <v>647</v>
          </cell>
          <cell r="U654" t="str">
            <v>Enam ratus Empat puluh Tujuh</v>
          </cell>
          <cell r="V654" t="str">
            <v xml:space="preserve">ribu </v>
          </cell>
          <cell r="W654" t="str">
            <v>ribu</v>
          </cell>
        </row>
        <row r="655">
          <cell r="T655">
            <v>648</v>
          </cell>
          <cell r="U655" t="str">
            <v>Enam ratus Empat puluh Delapan</v>
          </cell>
          <cell r="V655" t="str">
            <v xml:space="preserve">ribu </v>
          </cell>
          <cell r="W655" t="str">
            <v>ribu</v>
          </cell>
        </row>
        <row r="656">
          <cell r="T656">
            <v>649</v>
          </cell>
          <cell r="U656" t="str">
            <v>Enam ratus Empat puluh Sembilan</v>
          </cell>
          <cell r="V656" t="str">
            <v xml:space="preserve">ribu </v>
          </cell>
          <cell r="W656" t="str">
            <v>ribu</v>
          </cell>
        </row>
        <row r="657">
          <cell r="T657">
            <v>650</v>
          </cell>
          <cell r="U657" t="str">
            <v xml:space="preserve">Enam ratus Lima puluh </v>
          </cell>
          <cell r="V657" t="str">
            <v xml:space="preserve">ribu </v>
          </cell>
          <cell r="W657" t="str">
            <v>ribu</v>
          </cell>
        </row>
        <row r="658">
          <cell r="T658">
            <v>651</v>
          </cell>
          <cell r="U658" t="str">
            <v>Enam ratus Lima puluh Satu</v>
          </cell>
          <cell r="V658" t="str">
            <v xml:space="preserve">ribu </v>
          </cell>
          <cell r="W658" t="str">
            <v>ribu</v>
          </cell>
        </row>
        <row r="659">
          <cell r="T659">
            <v>652</v>
          </cell>
          <cell r="U659" t="str">
            <v>Enam ratus Lima puluh Dua</v>
          </cell>
          <cell r="V659" t="str">
            <v xml:space="preserve">ribu </v>
          </cell>
          <cell r="W659" t="str">
            <v>ribu</v>
          </cell>
        </row>
        <row r="660">
          <cell r="T660">
            <v>653</v>
          </cell>
          <cell r="U660" t="str">
            <v>Enam ratus Lima puluh Tiga</v>
          </cell>
          <cell r="V660" t="str">
            <v xml:space="preserve">ribu </v>
          </cell>
          <cell r="W660" t="str">
            <v>ribu</v>
          </cell>
        </row>
        <row r="661">
          <cell r="T661">
            <v>654</v>
          </cell>
          <cell r="U661" t="str">
            <v>Enam ratus Lima puluh Empat</v>
          </cell>
          <cell r="V661" t="str">
            <v xml:space="preserve">ribu </v>
          </cell>
          <cell r="W661" t="str">
            <v>ribu</v>
          </cell>
        </row>
        <row r="662">
          <cell r="T662">
            <v>655</v>
          </cell>
          <cell r="U662" t="str">
            <v>Enam ratus Lima puluh Lima</v>
          </cell>
          <cell r="V662" t="str">
            <v xml:space="preserve">ribu </v>
          </cell>
          <cell r="W662" t="str">
            <v>ribu</v>
          </cell>
        </row>
        <row r="663">
          <cell r="T663">
            <v>656</v>
          </cell>
          <cell r="U663" t="str">
            <v>Enam ratus Lima puluh Enam</v>
          </cell>
          <cell r="V663" t="str">
            <v xml:space="preserve">ribu </v>
          </cell>
          <cell r="W663" t="str">
            <v>ribu</v>
          </cell>
        </row>
        <row r="664">
          <cell r="T664">
            <v>657</v>
          </cell>
          <cell r="U664" t="str">
            <v>Enam ratus Lima puluh Tujuh</v>
          </cell>
          <cell r="V664" t="str">
            <v xml:space="preserve">ribu </v>
          </cell>
          <cell r="W664" t="str">
            <v>ribu</v>
          </cell>
        </row>
        <row r="665">
          <cell r="T665">
            <v>658</v>
          </cell>
          <cell r="U665" t="str">
            <v>Enam ratus Lima puluh Delapan</v>
          </cell>
          <cell r="V665" t="str">
            <v xml:space="preserve">ribu </v>
          </cell>
          <cell r="W665" t="str">
            <v>ribu</v>
          </cell>
        </row>
        <row r="666">
          <cell r="T666">
            <v>659</v>
          </cell>
          <cell r="U666" t="str">
            <v>Enam ratus Lima puluh Sembilan</v>
          </cell>
          <cell r="V666" t="str">
            <v xml:space="preserve">ribu </v>
          </cell>
          <cell r="W666" t="str">
            <v>ribu</v>
          </cell>
        </row>
        <row r="667">
          <cell r="T667">
            <v>660</v>
          </cell>
          <cell r="U667" t="str">
            <v xml:space="preserve">Enam ratus Enam puluh </v>
          </cell>
          <cell r="V667" t="str">
            <v xml:space="preserve">ribu </v>
          </cell>
          <cell r="W667" t="str">
            <v>ribu</v>
          </cell>
        </row>
        <row r="668">
          <cell r="T668">
            <v>661</v>
          </cell>
          <cell r="U668" t="str">
            <v>Enam ratus Enam puluh Satu</v>
          </cell>
          <cell r="V668" t="str">
            <v xml:space="preserve">ribu </v>
          </cell>
          <cell r="W668" t="str">
            <v>ribu</v>
          </cell>
        </row>
        <row r="669">
          <cell r="T669">
            <v>662</v>
          </cell>
          <cell r="U669" t="str">
            <v>Enam ratus Enam puluh Dua</v>
          </cell>
          <cell r="V669" t="str">
            <v xml:space="preserve">ribu </v>
          </cell>
          <cell r="W669" t="str">
            <v>ribu</v>
          </cell>
        </row>
        <row r="670">
          <cell r="T670">
            <v>663</v>
          </cell>
          <cell r="U670" t="str">
            <v>Enam ratus Enam puluh Tiga</v>
          </cell>
          <cell r="V670" t="str">
            <v xml:space="preserve">ribu </v>
          </cell>
          <cell r="W670" t="str">
            <v>ribu</v>
          </cell>
        </row>
        <row r="671">
          <cell r="T671">
            <v>664</v>
          </cell>
          <cell r="U671" t="str">
            <v>Enam ratus Enam puluh Empat</v>
          </cell>
          <cell r="V671" t="str">
            <v xml:space="preserve">ribu </v>
          </cell>
          <cell r="W671" t="str">
            <v>ribu</v>
          </cell>
        </row>
        <row r="672">
          <cell r="T672">
            <v>665</v>
          </cell>
          <cell r="U672" t="str">
            <v>Enam ratus Enam puluh Lima</v>
          </cell>
          <cell r="V672" t="str">
            <v xml:space="preserve">ribu </v>
          </cell>
          <cell r="W672" t="str">
            <v>ribu</v>
          </cell>
        </row>
        <row r="673">
          <cell r="T673">
            <v>666</v>
          </cell>
          <cell r="U673" t="str">
            <v>Enam ratus Enam puluh Enam</v>
          </cell>
          <cell r="V673" t="str">
            <v xml:space="preserve">ribu </v>
          </cell>
          <cell r="W673" t="str">
            <v>ribu</v>
          </cell>
        </row>
        <row r="674">
          <cell r="T674">
            <v>667</v>
          </cell>
          <cell r="U674" t="str">
            <v>Enam ratus Enam puluh Tujuh</v>
          </cell>
          <cell r="V674" t="str">
            <v xml:space="preserve">ribu </v>
          </cell>
          <cell r="W674" t="str">
            <v>ribu</v>
          </cell>
        </row>
        <row r="675">
          <cell r="T675">
            <v>668</v>
          </cell>
          <cell r="U675" t="str">
            <v>Enam ratus Enam puluh Delapan</v>
          </cell>
          <cell r="V675" t="str">
            <v xml:space="preserve">ribu </v>
          </cell>
          <cell r="W675" t="str">
            <v>ribu</v>
          </cell>
        </row>
        <row r="676">
          <cell r="T676">
            <v>669</v>
          </cell>
          <cell r="U676" t="str">
            <v>Enam ratus Enam puluh Sembilan</v>
          </cell>
          <cell r="V676" t="str">
            <v xml:space="preserve">ribu </v>
          </cell>
          <cell r="W676" t="str">
            <v>ribu</v>
          </cell>
        </row>
        <row r="677">
          <cell r="T677">
            <v>670</v>
          </cell>
          <cell r="U677" t="str">
            <v xml:space="preserve">Enam ratus Tujuh puluh </v>
          </cell>
          <cell r="V677" t="str">
            <v xml:space="preserve">ribu </v>
          </cell>
          <cell r="W677" t="str">
            <v>ribu</v>
          </cell>
        </row>
        <row r="678">
          <cell r="T678">
            <v>671</v>
          </cell>
          <cell r="U678" t="str">
            <v>Enam ratus Tujuh puluh Satu</v>
          </cell>
          <cell r="V678" t="str">
            <v xml:space="preserve">ribu </v>
          </cell>
          <cell r="W678" t="str">
            <v>ribu</v>
          </cell>
        </row>
        <row r="679">
          <cell r="T679">
            <v>672</v>
          </cell>
          <cell r="U679" t="str">
            <v>Enam ratus Tujuh puluh Dua</v>
          </cell>
          <cell r="V679" t="str">
            <v xml:space="preserve">ribu </v>
          </cell>
          <cell r="W679" t="str">
            <v>ribu</v>
          </cell>
        </row>
        <row r="680">
          <cell r="T680">
            <v>673</v>
          </cell>
          <cell r="U680" t="str">
            <v>Enam ratus Tujuh puluh Tiga</v>
          </cell>
          <cell r="V680" t="str">
            <v xml:space="preserve">ribu </v>
          </cell>
          <cell r="W680" t="str">
            <v>ribu</v>
          </cell>
        </row>
        <row r="681">
          <cell r="T681">
            <v>674</v>
          </cell>
          <cell r="U681" t="str">
            <v>Enam ratus Tujuh puluh Empat</v>
          </cell>
          <cell r="V681" t="str">
            <v xml:space="preserve">ribu </v>
          </cell>
          <cell r="W681" t="str">
            <v>ribu</v>
          </cell>
        </row>
        <row r="682">
          <cell r="T682">
            <v>675</v>
          </cell>
          <cell r="U682" t="str">
            <v>Enam ratus Tujuh puluh Lima</v>
          </cell>
          <cell r="V682" t="str">
            <v xml:space="preserve">ribu </v>
          </cell>
          <cell r="W682" t="str">
            <v>ribu</v>
          </cell>
        </row>
        <row r="683">
          <cell r="T683">
            <v>676</v>
          </cell>
          <cell r="U683" t="str">
            <v>Enam ratus Tujuh puluh Enam</v>
          </cell>
          <cell r="V683" t="str">
            <v xml:space="preserve">ribu </v>
          </cell>
          <cell r="W683" t="str">
            <v>ribu</v>
          </cell>
        </row>
        <row r="684">
          <cell r="T684">
            <v>677</v>
          </cell>
          <cell r="U684" t="str">
            <v>Enam ratus Tujuh puluh Tujuh</v>
          </cell>
          <cell r="V684" t="str">
            <v xml:space="preserve">ribu </v>
          </cell>
          <cell r="W684" t="str">
            <v>ribu</v>
          </cell>
        </row>
        <row r="685">
          <cell r="T685">
            <v>678</v>
          </cell>
          <cell r="U685" t="str">
            <v>Enam ratus Tujuh puluh Delapan</v>
          </cell>
          <cell r="V685" t="str">
            <v xml:space="preserve">ribu </v>
          </cell>
          <cell r="W685" t="str">
            <v>ribu</v>
          </cell>
        </row>
        <row r="686">
          <cell r="T686">
            <v>679</v>
          </cell>
          <cell r="U686" t="str">
            <v>Enam ratus Tujuh puluh Sembilan</v>
          </cell>
          <cell r="V686" t="str">
            <v xml:space="preserve">ribu </v>
          </cell>
          <cell r="W686" t="str">
            <v>ribu</v>
          </cell>
        </row>
        <row r="687">
          <cell r="T687">
            <v>680</v>
          </cell>
          <cell r="U687" t="str">
            <v xml:space="preserve">Enam ratus Delapan puluh </v>
          </cell>
          <cell r="V687" t="str">
            <v xml:space="preserve">ribu </v>
          </cell>
          <cell r="W687" t="str">
            <v>ribu</v>
          </cell>
        </row>
        <row r="688">
          <cell r="T688">
            <v>681</v>
          </cell>
          <cell r="U688" t="str">
            <v>Enam ratus Delapan puluh Satu</v>
          </cell>
          <cell r="V688" t="str">
            <v xml:space="preserve">ribu </v>
          </cell>
          <cell r="W688" t="str">
            <v>ribu</v>
          </cell>
        </row>
        <row r="689">
          <cell r="T689">
            <v>682</v>
          </cell>
          <cell r="U689" t="str">
            <v>Enam ratus Delapan puluh Dua</v>
          </cell>
          <cell r="V689" t="str">
            <v xml:space="preserve">ribu </v>
          </cell>
          <cell r="W689" t="str">
            <v>ribu</v>
          </cell>
        </row>
        <row r="690">
          <cell r="T690">
            <v>683</v>
          </cell>
          <cell r="U690" t="str">
            <v>Enam ratus Delapan puluh Tiga</v>
          </cell>
          <cell r="V690" t="str">
            <v xml:space="preserve">ribu </v>
          </cell>
          <cell r="W690" t="str">
            <v>ribu</v>
          </cell>
        </row>
        <row r="691">
          <cell r="T691">
            <v>684</v>
          </cell>
          <cell r="U691" t="str">
            <v>Enam ratus Delapan puluh Empat</v>
          </cell>
          <cell r="V691" t="str">
            <v xml:space="preserve">ribu </v>
          </cell>
          <cell r="W691" t="str">
            <v>ribu</v>
          </cell>
        </row>
        <row r="692">
          <cell r="T692">
            <v>685</v>
          </cell>
          <cell r="U692" t="str">
            <v>Enam ratus Delapan puluh Lima</v>
          </cell>
          <cell r="V692" t="str">
            <v xml:space="preserve">ribu </v>
          </cell>
          <cell r="W692" t="str">
            <v>ribu</v>
          </cell>
        </row>
        <row r="693">
          <cell r="T693">
            <v>686</v>
          </cell>
          <cell r="U693" t="str">
            <v>Enam ratus Delapan puluh Enam</v>
          </cell>
          <cell r="V693" t="str">
            <v xml:space="preserve">ribu </v>
          </cell>
          <cell r="W693" t="str">
            <v>ribu</v>
          </cell>
        </row>
        <row r="694">
          <cell r="T694">
            <v>687</v>
          </cell>
          <cell r="U694" t="str">
            <v>Enam ratus Delapan puluh Tujuh</v>
          </cell>
          <cell r="V694" t="str">
            <v xml:space="preserve">ribu </v>
          </cell>
          <cell r="W694" t="str">
            <v>ribu</v>
          </cell>
        </row>
        <row r="695">
          <cell r="T695">
            <v>688</v>
          </cell>
          <cell r="U695" t="str">
            <v>Enam ratus Delapan puluh Delapan</v>
          </cell>
          <cell r="V695" t="str">
            <v xml:space="preserve">ribu </v>
          </cell>
          <cell r="W695" t="str">
            <v>ribu</v>
          </cell>
        </row>
        <row r="696">
          <cell r="T696">
            <v>689</v>
          </cell>
          <cell r="U696" t="str">
            <v>Enam ratus Delapan puluh Sembilan</v>
          </cell>
          <cell r="V696" t="str">
            <v xml:space="preserve">ribu </v>
          </cell>
          <cell r="W696" t="str">
            <v>ribu</v>
          </cell>
        </row>
        <row r="697">
          <cell r="T697">
            <v>690</v>
          </cell>
          <cell r="U697" t="str">
            <v xml:space="preserve">Enam ratus Sembilan puluh </v>
          </cell>
          <cell r="V697" t="str">
            <v xml:space="preserve">ribu </v>
          </cell>
          <cell r="W697" t="str">
            <v>ribu</v>
          </cell>
        </row>
        <row r="698">
          <cell r="T698">
            <v>691</v>
          </cell>
          <cell r="U698" t="str">
            <v>Enam ratus Sembilan puluh Satu</v>
          </cell>
          <cell r="V698" t="str">
            <v xml:space="preserve">ribu </v>
          </cell>
          <cell r="W698" t="str">
            <v>ribu</v>
          </cell>
        </row>
        <row r="699">
          <cell r="T699">
            <v>692</v>
          </cell>
          <cell r="U699" t="str">
            <v>Enam ratus Sembilan puluh Dua</v>
          </cell>
          <cell r="V699" t="str">
            <v xml:space="preserve">ribu </v>
          </cell>
          <cell r="W699" t="str">
            <v>ribu</v>
          </cell>
        </row>
        <row r="700">
          <cell r="T700">
            <v>693</v>
          </cell>
          <cell r="U700" t="str">
            <v>Enam ratus Sembilan puluh Tiga</v>
          </cell>
          <cell r="V700" t="str">
            <v xml:space="preserve">ribu </v>
          </cell>
          <cell r="W700" t="str">
            <v>ribu</v>
          </cell>
        </row>
        <row r="701">
          <cell r="T701">
            <v>694</v>
          </cell>
          <cell r="U701" t="str">
            <v>Enam ratus Sembilan puluh Empat</v>
          </cell>
          <cell r="V701" t="str">
            <v xml:space="preserve">ribu </v>
          </cell>
          <cell r="W701" t="str">
            <v>ribu</v>
          </cell>
        </row>
        <row r="702">
          <cell r="T702">
            <v>695</v>
          </cell>
          <cell r="U702" t="str">
            <v>Enam ratus Sembilan puluh Lima</v>
          </cell>
          <cell r="V702" t="str">
            <v xml:space="preserve">ribu </v>
          </cell>
          <cell r="W702" t="str">
            <v>ribu</v>
          </cell>
        </row>
        <row r="703">
          <cell r="T703">
            <v>696</v>
          </cell>
          <cell r="U703" t="str">
            <v>Enam ratus Sembilan puluh Enam</v>
          </cell>
          <cell r="V703" t="str">
            <v xml:space="preserve">ribu </v>
          </cell>
          <cell r="W703" t="str">
            <v>ribu</v>
          </cell>
        </row>
        <row r="704">
          <cell r="T704">
            <v>697</v>
          </cell>
          <cell r="U704" t="str">
            <v>Enam ratus Sembilan puluh Tujuh</v>
          </cell>
          <cell r="V704" t="str">
            <v xml:space="preserve">ribu </v>
          </cell>
          <cell r="W704" t="str">
            <v>ribu</v>
          </cell>
        </row>
        <row r="705">
          <cell r="T705">
            <v>698</v>
          </cell>
          <cell r="U705" t="str">
            <v>Enam ratus Sembilan puluh Delapan</v>
          </cell>
          <cell r="V705" t="str">
            <v xml:space="preserve">ribu </v>
          </cell>
          <cell r="W705" t="str">
            <v>ribu</v>
          </cell>
        </row>
        <row r="706">
          <cell r="T706">
            <v>699</v>
          </cell>
          <cell r="U706" t="str">
            <v>Enam ratus Sembilan puluh Sembilan</v>
          </cell>
          <cell r="V706" t="str">
            <v xml:space="preserve">ribu </v>
          </cell>
          <cell r="W706" t="str">
            <v>ribu</v>
          </cell>
        </row>
        <row r="707">
          <cell r="T707">
            <v>700</v>
          </cell>
          <cell r="U707" t="str">
            <v xml:space="preserve">Tujuh ratus </v>
          </cell>
          <cell r="V707" t="str">
            <v xml:space="preserve">ribu </v>
          </cell>
          <cell r="W707" t="str">
            <v>ribu</v>
          </cell>
        </row>
        <row r="708">
          <cell r="T708">
            <v>701</v>
          </cell>
          <cell r="U708" t="str">
            <v>Tujuh ratus Satu</v>
          </cell>
          <cell r="V708" t="str">
            <v xml:space="preserve">ribu </v>
          </cell>
          <cell r="W708" t="str">
            <v>ribu</v>
          </cell>
        </row>
        <row r="709">
          <cell r="T709">
            <v>702</v>
          </cell>
          <cell r="U709" t="str">
            <v>Tujuh ratus Dua</v>
          </cell>
          <cell r="V709" t="str">
            <v xml:space="preserve">ribu </v>
          </cell>
          <cell r="W709" t="str">
            <v>ribu</v>
          </cell>
        </row>
        <row r="710">
          <cell r="T710">
            <v>703</v>
          </cell>
          <cell r="U710" t="str">
            <v>Tujuh ratus Tiga</v>
          </cell>
          <cell r="V710" t="str">
            <v xml:space="preserve">ribu </v>
          </cell>
          <cell r="W710" t="str">
            <v>ribu</v>
          </cell>
        </row>
        <row r="711">
          <cell r="T711">
            <v>704</v>
          </cell>
          <cell r="U711" t="str">
            <v>Tujuh ratus Empat</v>
          </cell>
          <cell r="V711" t="str">
            <v xml:space="preserve">ribu </v>
          </cell>
          <cell r="W711" t="str">
            <v>ribu</v>
          </cell>
        </row>
        <row r="712">
          <cell r="T712">
            <v>705</v>
          </cell>
          <cell r="U712" t="str">
            <v>Tujuh ratus Lima</v>
          </cell>
          <cell r="V712" t="str">
            <v xml:space="preserve">ribu </v>
          </cell>
          <cell r="W712" t="str">
            <v>ribu</v>
          </cell>
        </row>
        <row r="713">
          <cell r="T713">
            <v>706</v>
          </cell>
          <cell r="U713" t="str">
            <v>Tujuh ratus Enam</v>
          </cell>
          <cell r="V713" t="str">
            <v xml:space="preserve">ribu </v>
          </cell>
          <cell r="W713" t="str">
            <v>ribu</v>
          </cell>
        </row>
        <row r="714">
          <cell r="T714">
            <v>707</v>
          </cell>
          <cell r="U714" t="str">
            <v>Tujuh ratus Tujuh</v>
          </cell>
          <cell r="V714" t="str">
            <v xml:space="preserve">ribu </v>
          </cell>
          <cell r="W714" t="str">
            <v>ribu</v>
          </cell>
        </row>
        <row r="715">
          <cell r="T715">
            <v>708</v>
          </cell>
          <cell r="U715" t="str">
            <v>Tujuh ratus Delapan</v>
          </cell>
          <cell r="V715" t="str">
            <v xml:space="preserve">ribu </v>
          </cell>
          <cell r="W715" t="str">
            <v>ribu</v>
          </cell>
        </row>
        <row r="716">
          <cell r="T716">
            <v>709</v>
          </cell>
          <cell r="U716" t="str">
            <v>Tujuh ratus Sembilan</v>
          </cell>
          <cell r="V716" t="str">
            <v xml:space="preserve">ribu </v>
          </cell>
          <cell r="W716" t="str">
            <v>ribu</v>
          </cell>
        </row>
        <row r="717">
          <cell r="T717">
            <v>710</v>
          </cell>
          <cell r="U717" t="str">
            <v>Tujuh ratus Sepuluh</v>
          </cell>
          <cell r="V717" t="str">
            <v xml:space="preserve">ribu </v>
          </cell>
          <cell r="W717" t="str">
            <v>ribu</v>
          </cell>
        </row>
        <row r="718">
          <cell r="T718">
            <v>711</v>
          </cell>
          <cell r="U718" t="str">
            <v>Tujuh ratus Sebelas</v>
          </cell>
          <cell r="V718" t="str">
            <v xml:space="preserve">ribu </v>
          </cell>
          <cell r="W718" t="str">
            <v>ribu</v>
          </cell>
        </row>
        <row r="719">
          <cell r="T719">
            <v>712</v>
          </cell>
          <cell r="U719" t="str">
            <v>Tujuh ratus Dua belas</v>
          </cell>
          <cell r="V719" t="str">
            <v xml:space="preserve">ribu </v>
          </cell>
          <cell r="W719" t="str">
            <v>ribu</v>
          </cell>
        </row>
        <row r="720">
          <cell r="T720">
            <v>713</v>
          </cell>
          <cell r="U720" t="str">
            <v>Tujuh ratus Tiga belas</v>
          </cell>
          <cell r="V720" t="str">
            <v xml:space="preserve">ribu </v>
          </cell>
          <cell r="W720" t="str">
            <v>ribu</v>
          </cell>
        </row>
        <row r="721">
          <cell r="T721">
            <v>714</v>
          </cell>
          <cell r="U721" t="str">
            <v>Tujuh ratus Empat belas</v>
          </cell>
          <cell r="V721" t="str">
            <v xml:space="preserve">ribu </v>
          </cell>
          <cell r="W721" t="str">
            <v>ribu</v>
          </cell>
        </row>
        <row r="722">
          <cell r="T722">
            <v>715</v>
          </cell>
          <cell r="U722" t="str">
            <v>Tujuh ratus Lima belas</v>
          </cell>
          <cell r="V722" t="str">
            <v xml:space="preserve">ribu </v>
          </cell>
          <cell r="W722" t="str">
            <v>ribu</v>
          </cell>
        </row>
        <row r="723">
          <cell r="T723">
            <v>716</v>
          </cell>
          <cell r="U723" t="str">
            <v>Tujuh ratus Enam belas</v>
          </cell>
          <cell r="V723" t="str">
            <v xml:space="preserve">ribu </v>
          </cell>
          <cell r="W723" t="str">
            <v>ribu</v>
          </cell>
        </row>
        <row r="724">
          <cell r="T724">
            <v>717</v>
          </cell>
          <cell r="U724" t="str">
            <v>Tujuh ratus Tujuh belas</v>
          </cell>
          <cell r="V724" t="str">
            <v xml:space="preserve">ribu </v>
          </cell>
          <cell r="W724" t="str">
            <v>ribu</v>
          </cell>
        </row>
        <row r="725">
          <cell r="T725">
            <v>718</v>
          </cell>
          <cell r="U725" t="str">
            <v>Tujuh ratus Delapan belas</v>
          </cell>
          <cell r="V725" t="str">
            <v xml:space="preserve">ribu </v>
          </cell>
          <cell r="W725" t="str">
            <v>ribu</v>
          </cell>
        </row>
        <row r="726">
          <cell r="T726">
            <v>719</v>
          </cell>
          <cell r="U726" t="str">
            <v>Tujuh ratus Sembilan belas</v>
          </cell>
          <cell r="V726" t="str">
            <v xml:space="preserve">ribu </v>
          </cell>
          <cell r="W726" t="str">
            <v>ribu</v>
          </cell>
        </row>
        <row r="727">
          <cell r="T727">
            <v>720</v>
          </cell>
          <cell r="U727" t="str">
            <v xml:space="preserve">Tujuh ratus Dua puluh </v>
          </cell>
          <cell r="V727" t="str">
            <v xml:space="preserve">ribu </v>
          </cell>
          <cell r="W727" t="str">
            <v>ribu</v>
          </cell>
        </row>
        <row r="728">
          <cell r="T728">
            <v>721</v>
          </cell>
          <cell r="U728" t="str">
            <v>Tujuh ratus Dua puluh Satu</v>
          </cell>
          <cell r="V728" t="str">
            <v xml:space="preserve">ribu </v>
          </cell>
          <cell r="W728" t="str">
            <v>ribu</v>
          </cell>
        </row>
        <row r="729">
          <cell r="T729">
            <v>722</v>
          </cell>
          <cell r="U729" t="str">
            <v>Tujuh ratus Dua puluh Dua</v>
          </cell>
          <cell r="V729" t="str">
            <v xml:space="preserve">ribu </v>
          </cell>
          <cell r="W729" t="str">
            <v>ribu</v>
          </cell>
        </row>
        <row r="730">
          <cell r="T730">
            <v>723</v>
          </cell>
          <cell r="U730" t="str">
            <v>Tujuh ratus Dua puluh Tiga</v>
          </cell>
          <cell r="V730" t="str">
            <v xml:space="preserve">ribu </v>
          </cell>
          <cell r="W730" t="str">
            <v>ribu</v>
          </cell>
        </row>
        <row r="731">
          <cell r="T731">
            <v>724</v>
          </cell>
          <cell r="U731" t="str">
            <v>Tujuh ratus Dua puluh Empat</v>
          </cell>
          <cell r="V731" t="str">
            <v xml:space="preserve">ribu </v>
          </cell>
          <cell r="W731" t="str">
            <v>ribu</v>
          </cell>
        </row>
        <row r="732">
          <cell r="T732">
            <v>725</v>
          </cell>
          <cell r="U732" t="str">
            <v>Tujuh ratus Dua puluh Lima</v>
          </cell>
          <cell r="V732" t="str">
            <v xml:space="preserve">ribu </v>
          </cell>
          <cell r="W732" t="str">
            <v>ribu</v>
          </cell>
        </row>
        <row r="733">
          <cell r="T733">
            <v>726</v>
          </cell>
          <cell r="U733" t="str">
            <v>Tujuh ratus Dua puluh Enam</v>
          </cell>
          <cell r="V733" t="str">
            <v xml:space="preserve">ribu </v>
          </cell>
          <cell r="W733" t="str">
            <v>ribu</v>
          </cell>
        </row>
        <row r="734">
          <cell r="T734">
            <v>727</v>
          </cell>
          <cell r="U734" t="str">
            <v>Tujuh ratus Dua puluh Tujuh</v>
          </cell>
          <cell r="V734" t="str">
            <v xml:space="preserve">ribu </v>
          </cell>
          <cell r="W734" t="str">
            <v>ribu</v>
          </cell>
        </row>
        <row r="735">
          <cell r="T735">
            <v>728</v>
          </cell>
          <cell r="U735" t="str">
            <v>Tujuh ratus Dua puluh Delapan</v>
          </cell>
          <cell r="V735" t="str">
            <v xml:space="preserve">ribu </v>
          </cell>
          <cell r="W735" t="str">
            <v>ribu</v>
          </cell>
        </row>
        <row r="736">
          <cell r="T736">
            <v>729</v>
          </cell>
          <cell r="U736" t="str">
            <v>Tujuh ratus Dua puluh Sembilan</v>
          </cell>
          <cell r="V736" t="str">
            <v xml:space="preserve">ribu </v>
          </cell>
          <cell r="W736" t="str">
            <v>ribu</v>
          </cell>
        </row>
        <row r="737">
          <cell r="T737">
            <v>730</v>
          </cell>
          <cell r="U737" t="str">
            <v xml:space="preserve">Tujuh ratus Tiga puluh </v>
          </cell>
          <cell r="V737" t="str">
            <v xml:space="preserve">ribu </v>
          </cell>
          <cell r="W737" t="str">
            <v>ribu</v>
          </cell>
        </row>
        <row r="738">
          <cell r="T738">
            <v>731</v>
          </cell>
          <cell r="U738" t="str">
            <v>Tujuh ratus Tiga puluh Satu</v>
          </cell>
          <cell r="V738" t="str">
            <v xml:space="preserve">ribu </v>
          </cell>
          <cell r="W738" t="str">
            <v>ribu</v>
          </cell>
        </row>
        <row r="739">
          <cell r="T739">
            <v>732</v>
          </cell>
          <cell r="U739" t="str">
            <v>Tujuh ratus Tiga puluh Dua</v>
          </cell>
          <cell r="V739" t="str">
            <v xml:space="preserve">ribu </v>
          </cell>
          <cell r="W739" t="str">
            <v>ribu</v>
          </cell>
        </row>
        <row r="740">
          <cell r="T740">
            <v>733</v>
          </cell>
          <cell r="U740" t="str">
            <v>Tujuh ratus Tiga puluh Tiga</v>
          </cell>
          <cell r="V740" t="str">
            <v xml:space="preserve">ribu </v>
          </cell>
          <cell r="W740" t="str">
            <v>ribu</v>
          </cell>
        </row>
        <row r="741">
          <cell r="T741">
            <v>734</v>
          </cell>
          <cell r="U741" t="str">
            <v>Tujuh ratus Tiga puluh Empat</v>
          </cell>
          <cell r="V741" t="str">
            <v xml:space="preserve">ribu </v>
          </cell>
          <cell r="W741" t="str">
            <v>ribu</v>
          </cell>
        </row>
        <row r="742">
          <cell r="T742">
            <v>735</v>
          </cell>
          <cell r="U742" t="str">
            <v>Tujuh ratus Tiga puluh Lima</v>
          </cell>
          <cell r="V742" t="str">
            <v xml:space="preserve">ribu </v>
          </cell>
          <cell r="W742" t="str">
            <v>ribu</v>
          </cell>
        </row>
        <row r="743">
          <cell r="T743">
            <v>736</v>
          </cell>
          <cell r="U743" t="str">
            <v>Tujuh ratus Tiga puluh Enam</v>
          </cell>
          <cell r="V743" t="str">
            <v xml:space="preserve">ribu </v>
          </cell>
          <cell r="W743" t="str">
            <v>ribu</v>
          </cell>
        </row>
        <row r="744">
          <cell r="T744">
            <v>737</v>
          </cell>
          <cell r="U744" t="str">
            <v>Tujuh ratus Tiga puluh Tujuh</v>
          </cell>
          <cell r="V744" t="str">
            <v xml:space="preserve">ribu </v>
          </cell>
          <cell r="W744" t="str">
            <v>ribu</v>
          </cell>
        </row>
        <row r="745">
          <cell r="T745">
            <v>738</v>
          </cell>
          <cell r="U745" t="str">
            <v>Tujuh ratus Tiga puluh Delapan</v>
          </cell>
          <cell r="V745" t="str">
            <v xml:space="preserve">ribu </v>
          </cell>
          <cell r="W745" t="str">
            <v>ribu</v>
          </cell>
        </row>
        <row r="746">
          <cell r="T746">
            <v>739</v>
          </cell>
          <cell r="U746" t="str">
            <v>Tujuh ratus Tiga puluh Sembilan</v>
          </cell>
          <cell r="V746" t="str">
            <v xml:space="preserve">ribu </v>
          </cell>
          <cell r="W746" t="str">
            <v>ribu</v>
          </cell>
        </row>
        <row r="747">
          <cell r="T747">
            <v>740</v>
          </cell>
          <cell r="U747" t="str">
            <v xml:space="preserve">Tujuh ratus Empat puluh </v>
          </cell>
          <cell r="V747" t="str">
            <v xml:space="preserve">ribu </v>
          </cell>
          <cell r="W747" t="str">
            <v>ribu</v>
          </cell>
        </row>
        <row r="748">
          <cell r="T748">
            <v>741</v>
          </cell>
          <cell r="U748" t="str">
            <v>Tujuh ratus Empat puluh Satu</v>
          </cell>
          <cell r="V748" t="str">
            <v xml:space="preserve">ribu </v>
          </cell>
          <cell r="W748" t="str">
            <v>ribu</v>
          </cell>
        </row>
        <row r="749">
          <cell r="T749">
            <v>742</v>
          </cell>
          <cell r="U749" t="str">
            <v>Tujuh ratus Empat puluh Dua</v>
          </cell>
          <cell r="V749" t="str">
            <v xml:space="preserve">ribu </v>
          </cell>
          <cell r="W749" t="str">
            <v>ribu</v>
          </cell>
        </row>
        <row r="750">
          <cell r="T750">
            <v>743</v>
          </cell>
          <cell r="U750" t="str">
            <v>Tujuh ratus Empat puluh Tiga</v>
          </cell>
          <cell r="V750" t="str">
            <v xml:space="preserve">ribu </v>
          </cell>
          <cell r="W750" t="str">
            <v>ribu</v>
          </cell>
        </row>
        <row r="751">
          <cell r="T751">
            <v>744</v>
          </cell>
          <cell r="U751" t="str">
            <v>Tujuh ratus Empat puluh Empat</v>
          </cell>
          <cell r="V751" t="str">
            <v xml:space="preserve">ribu </v>
          </cell>
          <cell r="W751" t="str">
            <v>ribu</v>
          </cell>
        </row>
        <row r="752">
          <cell r="T752">
            <v>745</v>
          </cell>
          <cell r="U752" t="str">
            <v>Tujuh ratus Empat puluh Lima</v>
          </cell>
          <cell r="V752" t="str">
            <v xml:space="preserve">ribu </v>
          </cell>
          <cell r="W752" t="str">
            <v>ribu</v>
          </cell>
        </row>
        <row r="753">
          <cell r="T753">
            <v>746</v>
          </cell>
          <cell r="U753" t="str">
            <v>Tujuh ratus Empat puluh Enam</v>
          </cell>
          <cell r="V753" t="str">
            <v xml:space="preserve">ribu </v>
          </cell>
          <cell r="W753" t="str">
            <v>ribu</v>
          </cell>
        </row>
        <row r="754">
          <cell r="T754">
            <v>747</v>
          </cell>
          <cell r="U754" t="str">
            <v>Tujuh ratus Empat puluh Tujuh</v>
          </cell>
          <cell r="V754" t="str">
            <v xml:space="preserve">ribu </v>
          </cell>
          <cell r="W754" t="str">
            <v>ribu</v>
          </cell>
        </row>
        <row r="755">
          <cell r="T755">
            <v>748</v>
          </cell>
          <cell r="U755" t="str">
            <v>Tujuh ratus Empat puluh Delapan</v>
          </cell>
          <cell r="V755" t="str">
            <v xml:space="preserve">ribu </v>
          </cell>
          <cell r="W755" t="str">
            <v>ribu</v>
          </cell>
        </row>
        <row r="756">
          <cell r="T756">
            <v>749</v>
          </cell>
          <cell r="U756" t="str">
            <v>Tujuh ratus Empat puluh Sembilan</v>
          </cell>
          <cell r="V756" t="str">
            <v xml:space="preserve">ribu </v>
          </cell>
          <cell r="W756" t="str">
            <v>ribu</v>
          </cell>
        </row>
        <row r="757">
          <cell r="T757">
            <v>750</v>
          </cell>
          <cell r="U757" t="str">
            <v xml:space="preserve">Tujuh ratus Lima puluh </v>
          </cell>
          <cell r="V757" t="str">
            <v xml:space="preserve">ribu </v>
          </cell>
          <cell r="W757" t="str">
            <v>ribu</v>
          </cell>
        </row>
        <row r="758">
          <cell r="T758">
            <v>751</v>
          </cell>
          <cell r="U758" t="str">
            <v>Tujuh ratus Lima puluh Satu</v>
          </cell>
          <cell r="V758" t="str">
            <v xml:space="preserve">ribu </v>
          </cell>
          <cell r="W758" t="str">
            <v>ribu</v>
          </cell>
        </row>
        <row r="759">
          <cell r="T759">
            <v>752</v>
          </cell>
          <cell r="U759" t="str">
            <v>Tujuh ratus Lima puluh Dua</v>
          </cell>
          <cell r="V759" t="str">
            <v xml:space="preserve">ribu </v>
          </cell>
          <cell r="W759" t="str">
            <v>ribu</v>
          </cell>
        </row>
        <row r="760">
          <cell r="T760">
            <v>753</v>
          </cell>
          <cell r="U760" t="str">
            <v>Tujuh ratus Lima puluh Tiga</v>
          </cell>
          <cell r="V760" t="str">
            <v xml:space="preserve">ribu </v>
          </cell>
          <cell r="W760" t="str">
            <v>ribu</v>
          </cell>
        </row>
        <row r="761">
          <cell r="T761">
            <v>754</v>
          </cell>
          <cell r="U761" t="str">
            <v>Tujuh ratus Lima puluh Empat</v>
          </cell>
          <cell r="V761" t="str">
            <v xml:space="preserve">ribu </v>
          </cell>
          <cell r="W761" t="str">
            <v>ribu</v>
          </cell>
        </row>
        <row r="762">
          <cell r="T762">
            <v>755</v>
          </cell>
          <cell r="U762" t="str">
            <v>Tujuh ratus Lima puluh Lima</v>
          </cell>
          <cell r="V762" t="str">
            <v xml:space="preserve">ribu </v>
          </cell>
          <cell r="W762" t="str">
            <v>ribu</v>
          </cell>
        </row>
        <row r="763">
          <cell r="T763">
            <v>756</v>
          </cell>
          <cell r="U763" t="str">
            <v>Tujuh ratus Lima puluh Enam</v>
          </cell>
          <cell r="V763" t="str">
            <v xml:space="preserve">ribu </v>
          </cell>
          <cell r="W763" t="str">
            <v>ribu</v>
          </cell>
        </row>
        <row r="764">
          <cell r="T764">
            <v>757</v>
          </cell>
          <cell r="U764" t="str">
            <v>Tujuh ratus Lima puluh Tujuh</v>
          </cell>
          <cell r="V764" t="str">
            <v xml:space="preserve">ribu </v>
          </cell>
          <cell r="W764" t="str">
            <v>ribu</v>
          </cell>
        </row>
        <row r="765">
          <cell r="T765">
            <v>758</v>
          </cell>
          <cell r="U765" t="str">
            <v>Tujuh ratus Lima puluh Delapan</v>
          </cell>
          <cell r="V765" t="str">
            <v xml:space="preserve">ribu </v>
          </cell>
          <cell r="W765" t="str">
            <v>ribu</v>
          </cell>
        </row>
        <row r="766">
          <cell r="T766">
            <v>759</v>
          </cell>
          <cell r="U766" t="str">
            <v>Tujuh ratus Lima puluh Sembilan</v>
          </cell>
          <cell r="V766" t="str">
            <v xml:space="preserve">ribu </v>
          </cell>
          <cell r="W766" t="str">
            <v>ribu</v>
          </cell>
        </row>
        <row r="767">
          <cell r="T767">
            <v>760</v>
          </cell>
          <cell r="U767" t="str">
            <v xml:space="preserve">Tujuh ratus Enam puluh </v>
          </cell>
          <cell r="V767" t="str">
            <v xml:space="preserve">ribu </v>
          </cell>
          <cell r="W767" t="str">
            <v>ribu</v>
          </cell>
        </row>
        <row r="768">
          <cell r="T768">
            <v>761</v>
          </cell>
          <cell r="U768" t="str">
            <v>Tujuh ratus Enam puluh Satu</v>
          </cell>
          <cell r="V768" t="str">
            <v xml:space="preserve">ribu </v>
          </cell>
          <cell r="W768" t="str">
            <v>ribu</v>
          </cell>
        </row>
        <row r="769">
          <cell r="T769">
            <v>762</v>
          </cell>
          <cell r="U769" t="str">
            <v>Tujuh ratus Enam puluh Dua</v>
          </cell>
          <cell r="V769" t="str">
            <v xml:space="preserve">ribu </v>
          </cell>
          <cell r="W769" t="str">
            <v>ribu</v>
          </cell>
        </row>
        <row r="770">
          <cell r="T770">
            <v>763</v>
          </cell>
          <cell r="U770" t="str">
            <v>Tujuh ratus Enam puluh Tiga</v>
          </cell>
          <cell r="V770" t="str">
            <v xml:space="preserve">ribu </v>
          </cell>
          <cell r="W770" t="str">
            <v>ribu</v>
          </cell>
        </row>
        <row r="771">
          <cell r="T771">
            <v>764</v>
          </cell>
          <cell r="U771" t="str">
            <v>Tujuh ratus Enam puluh Empat</v>
          </cell>
          <cell r="V771" t="str">
            <v xml:space="preserve">ribu </v>
          </cell>
          <cell r="W771" t="str">
            <v>ribu</v>
          </cell>
        </row>
        <row r="772">
          <cell r="T772">
            <v>765</v>
          </cell>
          <cell r="U772" t="str">
            <v>Tujuh ratus Enam puluh Lima</v>
          </cell>
          <cell r="V772" t="str">
            <v xml:space="preserve">ribu </v>
          </cell>
          <cell r="W772" t="str">
            <v>ribu</v>
          </cell>
        </row>
        <row r="773">
          <cell r="T773">
            <v>766</v>
          </cell>
          <cell r="U773" t="str">
            <v>Tujuh ratus Enam puluh Enam</v>
          </cell>
          <cell r="V773" t="str">
            <v xml:space="preserve">ribu </v>
          </cell>
          <cell r="W773" t="str">
            <v>ribu</v>
          </cell>
        </row>
        <row r="774">
          <cell r="T774">
            <v>767</v>
          </cell>
          <cell r="U774" t="str">
            <v>Tujuh ratus Enam puluh Tujuh</v>
          </cell>
          <cell r="V774" t="str">
            <v xml:space="preserve">ribu </v>
          </cell>
          <cell r="W774" t="str">
            <v>ribu</v>
          </cell>
        </row>
        <row r="775">
          <cell r="T775">
            <v>768</v>
          </cell>
          <cell r="U775" t="str">
            <v>Tujuh ratus Enam puluh Delapan</v>
          </cell>
          <cell r="V775" t="str">
            <v xml:space="preserve">ribu </v>
          </cell>
          <cell r="W775" t="str">
            <v>ribu</v>
          </cell>
        </row>
        <row r="776">
          <cell r="T776">
            <v>769</v>
          </cell>
          <cell r="U776" t="str">
            <v>Tujuh ratus Enam puluh Sembilan</v>
          </cell>
          <cell r="V776" t="str">
            <v xml:space="preserve">ribu </v>
          </cell>
          <cell r="W776" t="str">
            <v>ribu</v>
          </cell>
        </row>
        <row r="777">
          <cell r="T777">
            <v>770</v>
          </cell>
          <cell r="U777" t="str">
            <v xml:space="preserve">Tujuh ratus Tujuh puluh </v>
          </cell>
          <cell r="V777" t="str">
            <v xml:space="preserve">ribu </v>
          </cell>
          <cell r="W777" t="str">
            <v>ribu</v>
          </cell>
        </row>
        <row r="778">
          <cell r="T778">
            <v>771</v>
          </cell>
          <cell r="U778" t="str">
            <v>Tujuh ratus Tujuh puluh Satu</v>
          </cell>
          <cell r="V778" t="str">
            <v xml:space="preserve">ribu </v>
          </cell>
          <cell r="W778" t="str">
            <v>ribu</v>
          </cell>
        </row>
        <row r="779">
          <cell r="T779">
            <v>772</v>
          </cell>
          <cell r="U779" t="str">
            <v>Tujuh ratus Tujuh puluh Dua</v>
          </cell>
          <cell r="V779" t="str">
            <v xml:space="preserve">ribu </v>
          </cell>
          <cell r="W779" t="str">
            <v>ribu</v>
          </cell>
        </row>
        <row r="780">
          <cell r="T780">
            <v>773</v>
          </cell>
          <cell r="U780" t="str">
            <v>Tujuh ratus Tujuh puluh Tiga</v>
          </cell>
          <cell r="V780" t="str">
            <v xml:space="preserve">ribu </v>
          </cell>
          <cell r="W780" t="str">
            <v>ribu</v>
          </cell>
        </row>
        <row r="781">
          <cell r="T781">
            <v>774</v>
          </cell>
          <cell r="U781" t="str">
            <v>Tujuh ratus Tujuh puluh Empat</v>
          </cell>
          <cell r="V781" t="str">
            <v xml:space="preserve">ribu </v>
          </cell>
          <cell r="W781" t="str">
            <v>ribu</v>
          </cell>
        </row>
        <row r="782">
          <cell r="T782">
            <v>775</v>
          </cell>
          <cell r="U782" t="str">
            <v>Tujuh ratus Tujuh puluh Lima</v>
          </cell>
          <cell r="V782" t="str">
            <v xml:space="preserve">ribu </v>
          </cell>
          <cell r="W782" t="str">
            <v>ribu</v>
          </cell>
        </row>
        <row r="783">
          <cell r="T783">
            <v>776</v>
          </cell>
          <cell r="U783" t="str">
            <v>Tujuh ratus Tujuh puluh Enam</v>
          </cell>
          <cell r="V783" t="str">
            <v xml:space="preserve">ribu </v>
          </cell>
          <cell r="W783" t="str">
            <v>ribu</v>
          </cell>
        </row>
        <row r="784">
          <cell r="T784">
            <v>777</v>
          </cell>
          <cell r="U784" t="str">
            <v>Tujuh ratus Tujuh puluh Tujuh</v>
          </cell>
          <cell r="V784" t="str">
            <v xml:space="preserve">ribu </v>
          </cell>
          <cell r="W784" t="str">
            <v>ribu</v>
          </cell>
        </row>
        <row r="785">
          <cell r="T785">
            <v>778</v>
          </cell>
          <cell r="U785" t="str">
            <v>Tujuh ratus Tujuh puluh Delapan</v>
          </cell>
          <cell r="V785" t="str">
            <v xml:space="preserve">ribu </v>
          </cell>
          <cell r="W785" t="str">
            <v>ribu</v>
          </cell>
        </row>
        <row r="786">
          <cell r="T786">
            <v>779</v>
          </cell>
          <cell r="U786" t="str">
            <v>Tujuh ratus Tujuh puluh Sembilan</v>
          </cell>
          <cell r="V786" t="str">
            <v xml:space="preserve">ribu </v>
          </cell>
          <cell r="W786" t="str">
            <v>ribu</v>
          </cell>
        </row>
        <row r="787">
          <cell r="T787">
            <v>780</v>
          </cell>
          <cell r="U787" t="str">
            <v xml:space="preserve">Tujuh ratus Delapan puluh </v>
          </cell>
          <cell r="V787" t="str">
            <v xml:space="preserve">ribu </v>
          </cell>
          <cell r="W787" t="str">
            <v>ribu</v>
          </cell>
        </row>
        <row r="788">
          <cell r="T788">
            <v>781</v>
          </cell>
          <cell r="U788" t="str">
            <v>Tujuh ratus Delapan puluh Satu</v>
          </cell>
          <cell r="V788" t="str">
            <v xml:space="preserve">ribu </v>
          </cell>
          <cell r="W788" t="str">
            <v>ribu</v>
          </cell>
        </row>
        <row r="789">
          <cell r="T789">
            <v>782</v>
          </cell>
          <cell r="U789" t="str">
            <v>Tujuh ratus Delapan puluh Dua</v>
          </cell>
          <cell r="V789" t="str">
            <v xml:space="preserve">ribu </v>
          </cell>
          <cell r="W789" t="str">
            <v>ribu</v>
          </cell>
        </row>
        <row r="790">
          <cell r="T790">
            <v>783</v>
          </cell>
          <cell r="U790" t="str">
            <v>Tujuh ratus Delapan puluh Tiga</v>
          </cell>
          <cell r="V790" t="str">
            <v xml:space="preserve">ribu </v>
          </cell>
          <cell r="W790" t="str">
            <v>ribu</v>
          </cell>
        </row>
        <row r="791">
          <cell r="T791">
            <v>784</v>
          </cell>
          <cell r="U791" t="str">
            <v>Tujuh ratus Delapan puluh Empat</v>
          </cell>
          <cell r="V791" t="str">
            <v xml:space="preserve">ribu </v>
          </cell>
          <cell r="W791" t="str">
            <v>ribu</v>
          </cell>
        </row>
        <row r="792">
          <cell r="T792">
            <v>785</v>
          </cell>
          <cell r="U792" t="str">
            <v>Tujuh ratus Delapan puluh Lima</v>
          </cell>
          <cell r="V792" t="str">
            <v xml:space="preserve">ribu </v>
          </cell>
          <cell r="W792" t="str">
            <v>ribu</v>
          </cell>
        </row>
        <row r="793">
          <cell r="T793">
            <v>786</v>
          </cell>
          <cell r="U793" t="str">
            <v>Tujuh ratus Delapan puluh Enam</v>
          </cell>
          <cell r="V793" t="str">
            <v xml:space="preserve">ribu </v>
          </cell>
          <cell r="W793" t="str">
            <v>ribu</v>
          </cell>
        </row>
        <row r="794">
          <cell r="T794">
            <v>787</v>
          </cell>
          <cell r="U794" t="str">
            <v>Tujuh ratus Delapan puluh Tujuh</v>
          </cell>
          <cell r="V794" t="str">
            <v xml:space="preserve">ribu </v>
          </cell>
          <cell r="W794" t="str">
            <v>ribu</v>
          </cell>
        </row>
        <row r="795">
          <cell r="T795">
            <v>788</v>
          </cell>
          <cell r="U795" t="str">
            <v>Tujuh ratus Delapan puluh Delapan</v>
          </cell>
          <cell r="V795" t="str">
            <v xml:space="preserve">ribu </v>
          </cell>
          <cell r="W795" t="str">
            <v>ribu</v>
          </cell>
        </row>
        <row r="796">
          <cell r="T796">
            <v>789</v>
          </cell>
          <cell r="U796" t="str">
            <v>Tujuh ratus Delapan puluh Sembilan</v>
          </cell>
          <cell r="V796" t="str">
            <v xml:space="preserve">ribu </v>
          </cell>
          <cell r="W796" t="str">
            <v>ribu</v>
          </cell>
        </row>
        <row r="797">
          <cell r="T797">
            <v>790</v>
          </cell>
          <cell r="U797" t="str">
            <v xml:space="preserve">Tujuh ratus Sembilan puluh </v>
          </cell>
          <cell r="V797" t="str">
            <v xml:space="preserve">ribu </v>
          </cell>
          <cell r="W797" t="str">
            <v>ribu</v>
          </cell>
        </row>
        <row r="798">
          <cell r="T798">
            <v>791</v>
          </cell>
          <cell r="U798" t="str">
            <v>Tujuh ratus Sembilan puluh Satu</v>
          </cell>
          <cell r="V798" t="str">
            <v xml:space="preserve">ribu </v>
          </cell>
          <cell r="W798" t="str">
            <v>ribu</v>
          </cell>
        </row>
        <row r="799">
          <cell r="T799">
            <v>792</v>
          </cell>
          <cell r="U799" t="str">
            <v>Tujuh ratus Sembilan puluh Dua</v>
          </cell>
          <cell r="V799" t="str">
            <v xml:space="preserve">ribu </v>
          </cell>
          <cell r="W799" t="str">
            <v>ribu</v>
          </cell>
        </row>
        <row r="800">
          <cell r="T800">
            <v>793</v>
          </cell>
          <cell r="U800" t="str">
            <v>Tujuh ratus Sembilan puluh Tiga</v>
          </cell>
          <cell r="V800" t="str">
            <v xml:space="preserve">ribu </v>
          </cell>
          <cell r="W800" t="str">
            <v>ribu</v>
          </cell>
        </row>
        <row r="801">
          <cell r="T801">
            <v>794</v>
          </cell>
          <cell r="U801" t="str">
            <v>Tujuh ratus Sembilan puluh Empat</v>
          </cell>
          <cell r="V801" t="str">
            <v xml:space="preserve">ribu </v>
          </cell>
          <cell r="W801" t="str">
            <v>ribu</v>
          </cell>
        </row>
        <row r="802">
          <cell r="T802">
            <v>795</v>
          </cell>
          <cell r="U802" t="str">
            <v>Tujuh ratus Sembilan puluh Lima</v>
          </cell>
          <cell r="V802" t="str">
            <v xml:space="preserve">ribu </v>
          </cell>
          <cell r="W802" t="str">
            <v>ribu</v>
          </cell>
        </row>
        <row r="803">
          <cell r="T803">
            <v>796</v>
          </cell>
          <cell r="U803" t="str">
            <v>Tujuh ratus Sembilan puluh Enam</v>
          </cell>
          <cell r="V803" t="str">
            <v xml:space="preserve">ribu </v>
          </cell>
          <cell r="W803" t="str">
            <v>ribu</v>
          </cell>
        </row>
        <row r="804">
          <cell r="T804">
            <v>797</v>
          </cell>
          <cell r="U804" t="str">
            <v>Tujuh ratus Sembilan puluh Tujuh</v>
          </cell>
          <cell r="V804" t="str">
            <v xml:space="preserve">ribu </v>
          </cell>
          <cell r="W804" t="str">
            <v>ribu</v>
          </cell>
        </row>
        <row r="805">
          <cell r="T805">
            <v>798</v>
          </cell>
          <cell r="U805" t="str">
            <v>Tujuh ratus Sembilan puluh Delapan</v>
          </cell>
          <cell r="V805" t="str">
            <v xml:space="preserve">ribu </v>
          </cell>
          <cell r="W805" t="str">
            <v>ribu</v>
          </cell>
        </row>
        <row r="806">
          <cell r="T806">
            <v>799</v>
          </cell>
          <cell r="U806" t="str">
            <v>Tujuh ratus Sembilan puluh Sembilan</v>
          </cell>
          <cell r="V806" t="str">
            <v xml:space="preserve">ribu </v>
          </cell>
          <cell r="W806" t="str">
            <v>ribu</v>
          </cell>
        </row>
        <row r="807">
          <cell r="T807">
            <v>800</v>
          </cell>
          <cell r="U807" t="str">
            <v xml:space="preserve">Delapan ratus </v>
          </cell>
          <cell r="V807" t="str">
            <v xml:space="preserve">ribu </v>
          </cell>
          <cell r="W807" t="str">
            <v>ribu</v>
          </cell>
        </row>
        <row r="808">
          <cell r="T808">
            <v>801</v>
          </cell>
          <cell r="U808" t="str">
            <v>Delapan ratus Satu</v>
          </cell>
          <cell r="V808" t="str">
            <v xml:space="preserve">ribu </v>
          </cell>
          <cell r="W808" t="str">
            <v>ribu</v>
          </cell>
        </row>
        <row r="809">
          <cell r="T809">
            <v>802</v>
          </cell>
          <cell r="U809" t="str">
            <v>Delapan ratus Dua</v>
          </cell>
          <cell r="V809" t="str">
            <v xml:space="preserve">ribu </v>
          </cell>
          <cell r="W809" t="str">
            <v>ribu</v>
          </cell>
        </row>
        <row r="810">
          <cell r="T810">
            <v>803</v>
          </cell>
          <cell r="U810" t="str">
            <v>Delapan ratus Tiga</v>
          </cell>
          <cell r="V810" t="str">
            <v xml:space="preserve">ribu </v>
          </cell>
          <cell r="W810" t="str">
            <v>ribu</v>
          </cell>
        </row>
        <row r="811">
          <cell r="T811">
            <v>804</v>
          </cell>
          <cell r="U811" t="str">
            <v>Delapan ratus Empat</v>
          </cell>
          <cell r="V811" t="str">
            <v xml:space="preserve">ribu </v>
          </cell>
          <cell r="W811" t="str">
            <v>ribu</v>
          </cell>
        </row>
        <row r="812">
          <cell r="T812">
            <v>805</v>
          </cell>
          <cell r="U812" t="str">
            <v>Delapan ratus Lima</v>
          </cell>
          <cell r="V812" t="str">
            <v xml:space="preserve">ribu </v>
          </cell>
          <cell r="W812" t="str">
            <v>ribu</v>
          </cell>
        </row>
        <row r="813">
          <cell r="T813">
            <v>806</v>
          </cell>
          <cell r="U813" t="str">
            <v>Delapan ratus Enam</v>
          </cell>
          <cell r="V813" t="str">
            <v xml:space="preserve">ribu </v>
          </cell>
          <cell r="W813" t="str">
            <v>ribu</v>
          </cell>
        </row>
        <row r="814">
          <cell r="T814">
            <v>807</v>
          </cell>
          <cell r="U814" t="str">
            <v>Delapan ratus Tujuh</v>
          </cell>
          <cell r="V814" t="str">
            <v xml:space="preserve">ribu </v>
          </cell>
          <cell r="W814" t="str">
            <v>ribu</v>
          </cell>
        </row>
        <row r="815">
          <cell r="T815">
            <v>808</v>
          </cell>
          <cell r="U815" t="str">
            <v>Delapan ratus Delapan</v>
          </cell>
          <cell r="V815" t="str">
            <v xml:space="preserve">ribu </v>
          </cell>
          <cell r="W815" t="str">
            <v>ribu</v>
          </cell>
        </row>
        <row r="816">
          <cell r="T816">
            <v>809</v>
          </cell>
          <cell r="U816" t="str">
            <v>Delapan ratus Sembilan</v>
          </cell>
          <cell r="V816" t="str">
            <v xml:space="preserve">ribu </v>
          </cell>
          <cell r="W816" t="str">
            <v>ribu</v>
          </cell>
        </row>
        <row r="817">
          <cell r="T817">
            <v>810</v>
          </cell>
          <cell r="U817" t="str">
            <v>Delapan ratus Sepuluh</v>
          </cell>
          <cell r="V817" t="str">
            <v xml:space="preserve">ribu </v>
          </cell>
          <cell r="W817" t="str">
            <v>ribu</v>
          </cell>
        </row>
        <row r="818">
          <cell r="T818">
            <v>811</v>
          </cell>
          <cell r="U818" t="str">
            <v>Delapan ratus Sebelas</v>
          </cell>
          <cell r="V818" t="str">
            <v xml:space="preserve">ribu </v>
          </cell>
          <cell r="W818" t="str">
            <v>ribu</v>
          </cell>
        </row>
        <row r="819">
          <cell r="T819">
            <v>812</v>
          </cell>
          <cell r="U819" t="str">
            <v>Delapan ratus Dua belas</v>
          </cell>
          <cell r="V819" t="str">
            <v xml:space="preserve">ribu </v>
          </cell>
          <cell r="W819" t="str">
            <v>ribu</v>
          </cell>
        </row>
        <row r="820">
          <cell r="T820">
            <v>813</v>
          </cell>
          <cell r="U820" t="str">
            <v>Delapan ratus Tiga belas</v>
          </cell>
          <cell r="V820" t="str">
            <v xml:space="preserve">ribu </v>
          </cell>
          <cell r="W820" t="str">
            <v>ribu</v>
          </cell>
        </row>
        <row r="821">
          <cell r="T821">
            <v>814</v>
          </cell>
          <cell r="U821" t="str">
            <v>Delapan ratus Empat belas</v>
          </cell>
          <cell r="V821" t="str">
            <v xml:space="preserve">ribu </v>
          </cell>
          <cell r="W821" t="str">
            <v>ribu</v>
          </cell>
        </row>
        <row r="822">
          <cell r="T822">
            <v>815</v>
          </cell>
          <cell r="U822" t="str">
            <v>Delapan ratus Lima belas</v>
          </cell>
          <cell r="V822" t="str">
            <v xml:space="preserve">ribu </v>
          </cell>
          <cell r="W822" t="str">
            <v>ribu</v>
          </cell>
        </row>
        <row r="823">
          <cell r="T823">
            <v>816</v>
          </cell>
          <cell r="U823" t="str">
            <v>Delapan ratus Enam belas</v>
          </cell>
          <cell r="V823" t="str">
            <v xml:space="preserve">ribu </v>
          </cell>
          <cell r="W823" t="str">
            <v>ribu</v>
          </cell>
        </row>
        <row r="824">
          <cell r="T824">
            <v>817</v>
          </cell>
          <cell r="U824" t="str">
            <v>Delapan ratus Tujuh belas</v>
          </cell>
          <cell r="V824" t="str">
            <v xml:space="preserve">ribu </v>
          </cell>
          <cell r="W824" t="str">
            <v>ribu</v>
          </cell>
        </row>
        <row r="825">
          <cell r="T825">
            <v>818</v>
          </cell>
          <cell r="U825" t="str">
            <v>Delapan ratus Delapan belas</v>
          </cell>
          <cell r="V825" t="str">
            <v xml:space="preserve">ribu </v>
          </cell>
          <cell r="W825" t="str">
            <v>ribu</v>
          </cell>
        </row>
        <row r="826">
          <cell r="T826">
            <v>819</v>
          </cell>
          <cell r="U826" t="str">
            <v>Delapan ratus Sembilan belas</v>
          </cell>
          <cell r="V826" t="str">
            <v xml:space="preserve">ribu </v>
          </cell>
          <cell r="W826" t="str">
            <v>ribu</v>
          </cell>
        </row>
        <row r="827">
          <cell r="T827">
            <v>820</v>
          </cell>
          <cell r="U827" t="str">
            <v xml:space="preserve">Delapan ratus Dua puluh </v>
          </cell>
          <cell r="V827" t="str">
            <v xml:space="preserve">ribu </v>
          </cell>
          <cell r="W827" t="str">
            <v>ribu</v>
          </cell>
        </row>
        <row r="828">
          <cell r="T828">
            <v>821</v>
          </cell>
          <cell r="U828" t="str">
            <v>Delapan ratus Dua puluh Satu</v>
          </cell>
          <cell r="V828" t="str">
            <v xml:space="preserve">ribu </v>
          </cell>
          <cell r="W828" t="str">
            <v>ribu</v>
          </cell>
        </row>
        <row r="829">
          <cell r="T829">
            <v>822</v>
          </cell>
          <cell r="U829" t="str">
            <v>Delapan ratus Dua puluh Dua</v>
          </cell>
          <cell r="V829" t="str">
            <v xml:space="preserve">ribu </v>
          </cell>
          <cell r="W829" t="str">
            <v>ribu</v>
          </cell>
        </row>
        <row r="830">
          <cell r="T830">
            <v>823</v>
          </cell>
          <cell r="U830" t="str">
            <v>Delapan ratus Dua puluh Tiga</v>
          </cell>
          <cell r="V830" t="str">
            <v xml:space="preserve">ribu </v>
          </cell>
          <cell r="W830" t="str">
            <v>ribu</v>
          </cell>
        </row>
        <row r="831">
          <cell r="T831">
            <v>824</v>
          </cell>
          <cell r="U831" t="str">
            <v>Delapan ratus Dua puluh Empat</v>
          </cell>
          <cell r="V831" t="str">
            <v xml:space="preserve">ribu </v>
          </cell>
          <cell r="W831" t="str">
            <v>ribu</v>
          </cell>
        </row>
        <row r="832">
          <cell r="T832">
            <v>825</v>
          </cell>
          <cell r="U832" t="str">
            <v>Delapan ratus Dua puluh Lima</v>
          </cell>
          <cell r="V832" t="str">
            <v xml:space="preserve">ribu </v>
          </cell>
          <cell r="W832" t="str">
            <v>ribu</v>
          </cell>
        </row>
        <row r="833">
          <cell r="T833">
            <v>826</v>
          </cell>
          <cell r="U833" t="str">
            <v>Delapan ratus Dua puluh Enam</v>
          </cell>
          <cell r="V833" t="str">
            <v xml:space="preserve">ribu </v>
          </cell>
          <cell r="W833" t="str">
            <v>ribu</v>
          </cell>
        </row>
        <row r="834">
          <cell r="T834">
            <v>827</v>
          </cell>
          <cell r="U834" t="str">
            <v>Delapan ratus Dua puluh Tujuh</v>
          </cell>
          <cell r="V834" t="str">
            <v xml:space="preserve">ribu </v>
          </cell>
          <cell r="W834" t="str">
            <v>ribu</v>
          </cell>
        </row>
        <row r="835">
          <cell r="T835">
            <v>828</v>
          </cell>
          <cell r="U835" t="str">
            <v>Delapan ratus Dua puluh Delapan</v>
          </cell>
          <cell r="V835" t="str">
            <v xml:space="preserve">ribu </v>
          </cell>
          <cell r="W835" t="str">
            <v>ribu</v>
          </cell>
        </row>
        <row r="836">
          <cell r="T836">
            <v>829</v>
          </cell>
          <cell r="U836" t="str">
            <v>Delapan ratus Dua puluh Sembilan</v>
          </cell>
          <cell r="V836" t="str">
            <v xml:space="preserve">ribu </v>
          </cell>
          <cell r="W836" t="str">
            <v>ribu</v>
          </cell>
        </row>
        <row r="837">
          <cell r="T837">
            <v>830</v>
          </cell>
          <cell r="U837" t="str">
            <v xml:space="preserve">Delapan ratus Tiga puluh </v>
          </cell>
          <cell r="V837" t="str">
            <v xml:space="preserve">ribu </v>
          </cell>
          <cell r="W837" t="str">
            <v>ribu</v>
          </cell>
        </row>
        <row r="838">
          <cell r="T838">
            <v>831</v>
          </cell>
          <cell r="U838" t="str">
            <v>Delapan ratus Tiga puluh Satu</v>
          </cell>
          <cell r="V838" t="str">
            <v xml:space="preserve">ribu </v>
          </cell>
          <cell r="W838" t="str">
            <v>ribu</v>
          </cell>
        </row>
        <row r="839">
          <cell r="T839">
            <v>832</v>
          </cell>
          <cell r="U839" t="str">
            <v>Delapan ratus Tiga puluh Dua</v>
          </cell>
          <cell r="V839" t="str">
            <v xml:space="preserve">ribu </v>
          </cell>
          <cell r="W839" t="str">
            <v>ribu</v>
          </cell>
        </row>
        <row r="840">
          <cell r="T840">
            <v>833</v>
          </cell>
          <cell r="U840" t="str">
            <v>Delapan ratus Tiga puluh Tiga</v>
          </cell>
          <cell r="V840" t="str">
            <v xml:space="preserve">ribu </v>
          </cell>
          <cell r="W840" t="str">
            <v>ribu</v>
          </cell>
        </row>
        <row r="841">
          <cell r="T841">
            <v>834</v>
          </cell>
          <cell r="U841" t="str">
            <v>Delapan ratus Tiga puluh Empat</v>
          </cell>
          <cell r="V841" t="str">
            <v xml:space="preserve">ribu </v>
          </cell>
          <cell r="W841" t="str">
            <v>ribu</v>
          </cell>
        </row>
        <row r="842">
          <cell r="T842">
            <v>835</v>
          </cell>
          <cell r="U842" t="str">
            <v>Delapan ratus Tiga puluh Lima</v>
          </cell>
          <cell r="V842" t="str">
            <v xml:space="preserve">ribu </v>
          </cell>
          <cell r="W842" t="str">
            <v>ribu</v>
          </cell>
        </row>
        <row r="843">
          <cell r="T843">
            <v>836</v>
          </cell>
          <cell r="U843" t="str">
            <v>Delapan ratus Tiga puluh Enam</v>
          </cell>
          <cell r="V843" t="str">
            <v xml:space="preserve">ribu </v>
          </cell>
          <cell r="W843" t="str">
            <v>ribu</v>
          </cell>
        </row>
        <row r="844">
          <cell r="T844">
            <v>837</v>
          </cell>
          <cell r="U844" t="str">
            <v>Delapan ratus Tiga puluh Tujuh</v>
          </cell>
          <cell r="V844" t="str">
            <v xml:space="preserve">ribu </v>
          </cell>
          <cell r="W844" t="str">
            <v>ribu</v>
          </cell>
        </row>
        <row r="845">
          <cell r="T845">
            <v>838</v>
          </cell>
          <cell r="U845" t="str">
            <v>Delapan ratus Tiga puluh Delapan</v>
          </cell>
          <cell r="V845" t="str">
            <v xml:space="preserve">ribu </v>
          </cell>
          <cell r="W845" t="str">
            <v>ribu</v>
          </cell>
        </row>
        <row r="846">
          <cell r="T846">
            <v>839</v>
          </cell>
          <cell r="U846" t="str">
            <v>Delapan ratus Tiga puluh Sembilan</v>
          </cell>
          <cell r="V846" t="str">
            <v xml:space="preserve">ribu </v>
          </cell>
          <cell r="W846" t="str">
            <v>ribu</v>
          </cell>
        </row>
        <row r="847">
          <cell r="T847">
            <v>840</v>
          </cell>
          <cell r="U847" t="str">
            <v xml:space="preserve">Delapan ratus Empat puluh </v>
          </cell>
          <cell r="V847" t="str">
            <v xml:space="preserve">ribu </v>
          </cell>
          <cell r="W847" t="str">
            <v>ribu</v>
          </cell>
        </row>
        <row r="848">
          <cell r="T848">
            <v>841</v>
          </cell>
          <cell r="U848" t="str">
            <v>Delapan ratus Empat puluh Satu</v>
          </cell>
          <cell r="V848" t="str">
            <v xml:space="preserve">ribu </v>
          </cell>
          <cell r="W848" t="str">
            <v>ribu</v>
          </cell>
        </row>
        <row r="849">
          <cell r="T849">
            <v>842</v>
          </cell>
          <cell r="U849" t="str">
            <v>Delapan ratus Empat puluh Dua</v>
          </cell>
          <cell r="V849" t="str">
            <v xml:space="preserve">ribu </v>
          </cell>
          <cell r="W849" t="str">
            <v>ribu</v>
          </cell>
        </row>
        <row r="850">
          <cell r="T850">
            <v>843</v>
          </cell>
          <cell r="U850" t="str">
            <v>Delapan ratus Empat puluh Tiga</v>
          </cell>
          <cell r="V850" t="str">
            <v xml:space="preserve">ribu </v>
          </cell>
          <cell r="W850" t="str">
            <v>ribu</v>
          </cell>
        </row>
        <row r="851">
          <cell r="T851">
            <v>844</v>
          </cell>
          <cell r="U851" t="str">
            <v>Delapan ratus Empat puluh Empat</v>
          </cell>
          <cell r="V851" t="str">
            <v xml:space="preserve">ribu </v>
          </cell>
          <cell r="W851" t="str">
            <v>ribu</v>
          </cell>
        </row>
        <row r="852">
          <cell r="T852">
            <v>845</v>
          </cell>
          <cell r="U852" t="str">
            <v>Delapan ratus Empat puluh Lima</v>
          </cell>
          <cell r="V852" t="str">
            <v xml:space="preserve">ribu </v>
          </cell>
          <cell r="W852" t="str">
            <v>ribu</v>
          </cell>
        </row>
        <row r="853">
          <cell r="T853">
            <v>846</v>
          </cell>
          <cell r="U853" t="str">
            <v>Delapan ratus Empat puluh Enam</v>
          </cell>
          <cell r="V853" t="str">
            <v xml:space="preserve">ribu </v>
          </cell>
          <cell r="W853" t="str">
            <v>ribu</v>
          </cell>
        </row>
        <row r="854">
          <cell r="T854">
            <v>847</v>
          </cell>
          <cell r="U854" t="str">
            <v>Delapan ratus Empat puluh Tujuh</v>
          </cell>
          <cell r="V854" t="str">
            <v xml:space="preserve">ribu </v>
          </cell>
          <cell r="W854" t="str">
            <v>ribu</v>
          </cell>
        </row>
        <row r="855">
          <cell r="T855">
            <v>848</v>
          </cell>
          <cell r="U855" t="str">
            <v>Delapan ratus Empat puluh Delapan</v>
          </cell>
          <cell r="V855" t="str">
            <v xml:space="preserve">ribu </v>
          </cell>
          <cell r="W855" t="str">
            <v>ribu</v>
          </cell>
        </row>
        <row r="856">
          <cell r="T856">
            <v>849</v>
          </cell>
          <cell r="U856" t="str">
            <v>Delapan ratus Empat puluh Sembilan</v>
          </cell>
          <cell r="V856" t="str">
            <v xml:space="preserve">ribu </v>
          </cell>
          <cell r="W856" t="str">
            <v>ribu</v>
          </cell>
        </row>
        <row r="857">
          <cell r="T857">
            <v>850</v>
          </cell>
          <cell r="U857" t="str">
            <v xml:space="preserve">Delapan ratus Lima puluh </v>
          </cell>
          <cell r="V857" t="str">
            <v xml:space="preserve">ribu </v>
          </cell>
          <cell r="W857" t="str">
            <v>ribu</v>
          </cell>
        </row>
        <row r="858">
          <cell r="T858">
            <v>851</v>
          </cell>
          <cell r="U858" t="str">
            <v>Delapan ratus Lima puluh Satu</v>
          </cell>
          <cell r="V858" t="str">
            <v xml:space="preserve">ribu </v>
          </cell>
          <cell r="W858" t="str">
            <v>ribu</v>
          </cell>
        </row>
        <row r="859">
          <cell r="T859">
            <v>852</v>
          </cell>
          <cell r="U859" t="str">
            <v>Delapan ratus Lima puluh Dua</v>
          </cell>
          <cell r="V859" t="str">
            <v xml:space="preserve">ribu </v>
          </cell>
          <cell r="W859" t="str">
            <v>ribu</v>
          </cell>
        </row>
        <row r="860">
          <cell r="T860">
            <v>853</v>
          </cell>
          <cell r="U860" t="str">
            <v>Delapan ratus Lima puluh Tiga</v>
          </cell>
          <cell r="V860" t="str">
            <v xml:space="preserve">ribu </v>
          </cell>
          <cell r="W860" t="str">
            <v>ribu</v>
          </cell>
        </row>
        <row r="861">
          <cell r="T861">
            <v>854</v>
          </cell>
          <cell r="U861" t="str">
            <v>Delapan ratus Lima puluh Empat</v>
          </cell>
          <cell r="V861" t="str">
            <v xml:space="preserve">ribu </v>
          </cell>
          <cell r="W861" t="str">
            <v>ribu</v>
          </cell>
        </row>
        <row r="862">
          <cell r="T862">
            <v>855</v>
          </cell>
          <cell r="U862" t="str">
            <v>Delapan ratus Lima puluh Lima</v>
          </cell>
          <cell r="V862" t="str">
            <v xml:space="preserve">ribu </v>
          </cell>
          <cell r="W862" t="str">
            <v>ribu</v>
          </cell>
        </row>
        <row r="863">
          <cell r="T863">
            <v>856</v>
          </cell>
          <cell r="U863" t="str">
            <v>Delapan ratus Lima puluh Enam</v>
          </cell>
          <cell r="V863" t="str">
            <v xml:space="preserve">ribu </v>
          </cell>
          <cell r="W863" t="str">
            <v>ribu</v>
          </cell>
        </row>
        <row r="864">
          <cell r="T864">
            <v>857</v>
          </cell>
          <cell r="U864" t="str">
            <v>Delapan ratus Lima puluh Tujuh</v>
          </cell>
          <cell r="V864" t="str">
            <v xml:space="preserve">ribu </v>
          </cell>
          <cell r="W864" t="str">
            <v>ribu</v>
          </cell>
        </row>
        <row r="865">
          <cell r="T865">
            <v>858</v>
          </cell>
          <cell r="U865" t="str">
            <v>Delapan ratus Lima puluh Delapan</v>
          </cell>
          <cell r="V865" t="str">
            <v xml:space="preserve">ribu </v>
          </cell>
          <cell r="W865" t="str">
            <v>ribu</v>
          </cell>
        </row>
        <row r="866">
          <cell r="T866">
            <v>859</v>
          </cell>
          <cell r="U866" t="str">
            <v>Delapan ratus Lima puluh Sembilan</v>
          </cell>
          <cell r="V866" t="str">
            <v xml:space="preserve">ribu </v>
          </cell>
          <cell r="W866" t="str">
            <v>ribu</v>
          </cell>
        </row>
        <row r="867">
          <cell r="T867">
            <v>860</v>
          </cell>
          <cell r="U867" t="str">
            <v xml:space="preserve">Delapan ratus Enam puluh </v>
          </cell>
          <cell r="V867" t="str">
            <v xml:space="preserve">ribu </v>
          </cell>
          <cell r="W867" t="str">
            <v>ribu</v>
          </cell>
        </row>
        <row r="868">
          <cell r="T868">
            <v>861</v>
          </cell>
          <cell r="U868" t="str">
            <v>Delapan ratus Enam puluh Satu</v>
          </cell>
          <cell r="V868" t="str">
            <v xml:space="preserve">ribu </v>
          </cell>
          <cell r="W868" t="str">
            <v>ribu</v>
          </cell>
        </row>
        <row r="869">
          <cell r="T869">
            <v>862</v>
          </cell>
          <cell r="U869" t="str">
            <v>Delapan ratus Enam puluh Dua</v>
          </cell>
          <cell r="V869" t="str">
            <v xml:space="preserve">ribu </v>
          </cell>
          <cell r="W869" t="str">
            <v>ribu</v>
          </cell>
        </row>
        <row r="870">
          <cell r="T870">
            <v>863</v>
          </cell>
          <cell r="U870" t="str">
            <v>Delapan ratus Enam puluh Tiga</v>
          </cell>
          <cell r="V870" t="str">
            <v xml:space="preserve">ribu </v>
          </cell>
          <cell r="W870" t="str">
            <v>ribu</v>
          </cell>
        </row>
        <row r="871">
          <cell r="T871">
            <v>864</v>
          </cell>
          <cell r="U871" t="str">
            <v>Delapan ratus Enam puluh Empat</v>
          </cell>
          <cell r="V871" t="str">
            <v xml:space="preserve">ribu </v>
          </cell>
          <cell r="W871" t="str">
            <v>ribu</v>
          </cell>
        </row>
        <row r="872">
          <cell r="T872">
            <v>865</v>
          </cell>
          <cell r="U872" t="str">
            <v>Delapan ratus Enam puluh Lima</v>
          </cell>
          <cell r="V872" t="str">
            <v xml:space="preserve">ribu </v>
          </cell>
          <cell r="W872" t="str">
            <v>ribu</v>
          </cell>
        </row>
        <row r="873">
          <cell r="T873">
            <v>866</v>
          </cell>
          <cell r="U873" t="str">
            <v>Delapan ratus Enam puluh Enam</v>
          </cell>
          <cell r="V873" t="str">
            <v xml:space="preserve">ribu </v>
          </cell>
          <cell r="W873" t="str">
            <v>ribu</v>
          </cell>
        </row>
        <row r="874">
          <cell r="T874">
            <v>867</v>
          </cell>
          <cell r="U874" t="str">
            <v>Delapan ratus Enam puluh Tujuh</v>
          </cell>
          <cell r="V874" t="str">
            <v xml:space="preserve">ribu </v>
          </cell>
          <cell r="W874" t="str">
            <v>ribu</v>
          </cell>
        </row>
        <row r="875">
          <cell r="T875">
            <v>868</v>
          </cell>
          <cell r="U875" t="str">
            <v>Delapan ratus Enam puluh Delapan</v>
          </cell>
          <cell r="V875" t="str">
            <v xml:space="preserve">ribu </v>
          </cell>
          <cell r="W875" t="str">
            <v>ribu</v>
          </cell>
        </row>
        <row r="876">
          <cell r="T876">
            <v>869</v>
          </cell>
          <cell r="U876" t="str">
            <v>Delapan ratus Enam puluh Sembilan</v>
          </cell>
          <cell r="V876" t="str">
            <v xml:space="preserve">ribu </v>
          </cell>
          <cell r="W876" t="str">
            <v>ribu</v>
          </cell>
        </row>
        <row r="877">
          <cell r="T877">
            <v>870</v>
          </cell>
          <cell r="U877" t="str">
            <v xml:space="preserve">Delapan ratus Tujuh puluh </v>
          </cell>
          <cell r="V877" t="str">
            <v xml:space="preserve">ribu </v>
          </cell>
          <cell r="W877" t="str">
            <v>ribu</v>
          </cell>
        </row>
        <row r="878">
          <cell r="T878">
            <v>871</v>
          </cell>
          <cell r="U878" t="str">
            <v>Delapan ratus Tujuh puluh Satu</v>
          </cell>
          <cell r="V878" t="str">
            <v xml:space="preserve">ribu </v>
          </cell>
          <cell r="W878" t="str">
            <v>ribu</v>
          </cell>
        </row>
        <row r="879">
          <cell r="T879">
            <v>872</v>
          </cell>
          <cell r="U879" t="str">
            <v>Delapan ratus Tujuh puluh Dua</v>
          </cell>
          <cell r="V879" t="str">
            <v xml:space="preserve">ribu </v>
          </cell>
          <cell r="W879" t="str">
            <v>ribu</v>
          </cell>
        </row>
        <row r="880">
          <cell r="T880">
            <v>873</v>
          </cell>
          <cell r="U880" t="str">
            <v>Delapan ratus Tujuh puluh Tiga</v>
          </cell>
          <cell r="V880" t="str">
            <v xml:space="preserve">ribu </v>
          </cell>
          <cell r="W880" t="str">
            <v>ribu</v>
          </cell>
        </row>
        <row r="881">
          <cell r="T881">
            <v>874</v>
          </cell>
          <cell r="U881" t="str">
            <v>Delapan ratus Tujuh puluh Empat</v>
          </cell>
          <cell r="V881" t="str">
            <v xml:space="preserve">ribu </v>
          </cell>
          <cell r="W881" t="str">
            <v>ribu</v>
          </cell>
        </row>
        <row r="882">
          <cell r="T882">
            <v>875</v>
          </cell>
          <cell r="U882" t="str">
            <v>Delapan ratus Tujuh puluh Lima</v>
          </cell>
          <cell r="V882" t="str">
            <v xml:space="preserve">ribu </v>
          </cell>
          <cell r="W882" t="str">
            <v>ribu</v>
          </cell>
        </row>
        <row r="883">
          <cell r="T883">
            <v>876</v>
          </cell>
          <cell r="U883" t="str">
            <v>Delapan ratus Tujuh puluh Enam</v>
          </cell>
          <cell r="V883" t="str">
            <v xml:space="preserve">ribu </v>
          </cell>
          <cell r="W883" t="str">
            <v>ribu</v>
          </cell>
        </row>
        <row r="884">
          <cell r="T884">
            <v>877</v>
          </cell>
          <cell r="U884" t="str">
            <v>Delapan ratus Tujuh puluh Tujuh</v>
          </cell>
          <cell r="V884" t="str">
            <v xml:space="preserve">ribu </v>
          </cell>
          <cell r="W884" t="str">
            <v>ribu</v>
          </cell>
        </row>
        <row r="885">
          <cell r="T885">
            <v>878</v>
          </cell>
          <cell r="U885" t="str">
            <v>Delapan ratus Tujuh puluh Delapan</v>
          </cell>
          <cell r="V885" t="str">
            <v xml:space="preserve">ribu </v>
          </cell>
          <cell r="W885" t="str">
            <v>ribu</v>
          </cell>
        </row>
        <row r="886">
          <cell r="T886">
            <v>879</v>
          </cell>
          <cell r="U886" t="str">
            <v>Delapan ratus Tujuh puluh Sembilan</v>
          </cell>
          <cell r="V886" t="str">
            <v xml:space="preserve">ribu </v>
          </cell>
          <cell r="W886" t="str">
            <v>ribu</v>
          </cell>
        </row>
        <row r="887">
          <cell r="T887">
            <v>880</v>
          </cell>
          <cell r="U887" t="str">
            <v xml:space="preserve">Delapan ratus Delapan puluh </v>
          </cell>
          <cell r="V887" t="str">
            <v xml:space="preserve">ribu </v>
          </cell>
          <cell r="W887" t="str">
            <v>ribu</v>
          </cell>
        </row>
        <row r="888">
          <cell r="T888">
            <v>881</v>
          </cell>
          <cell r="U888" t="str">
            <v>Delapan ratus Delapan puluh Satu</v>
          </cell>
          <cell r="V888" t="str">
            <v xml:space="preserve">ribu </v>
          </cell>
          <cell r="W888" t="str">
            <v>ribu</v>
          </cell>
        </row>
        <row r="889">
          <cell r="T889">
            <v>882</v>
          </cell>
          <cell r="U889" t="str">
            <v>Delapan ratus Delapan puluh Dua</v>
          </cell>
          <cell r="V889" t="str">
            <v xml:space="preserve">ribu </v>
          </cell>
          <cell r="W889" t="str">
            <v>ribu</v>
          </cell>
        </row>
        <row r="890">
          <cell r="T890">
            <v>883</v>
          </cell>
          <cell r="U890" t="str">
            <v>Delapan ratus Delapan puluh Tiga</v>
          </cell>
          <cell r="V890" t="str">
            <v xml:space="preserve">ribu </v>
          </cell>
          <cell r="W890" t="str">
            <v>ribu</v>
          </cell>
        </row>
        <row r="891">
          <cell r="T891">
            <v>884</v>
          </cell>
          <cell r="U891" t="str">
            <v>Delapan ratus Delapan puluh Empat</v>
          </cell>
          <cell r="V891" t="str">
            <v xml:space="preserve">ribu </v>
          </cell>
          <cell r="W891" t="str">
            <v>ribu</v>
          </cell>
        </row>
        <row r="892">
          <cell r="T892">
            <v>885</v>
          </cell>
          <cell r="U892" t="str">
            <v>Delapan ratus Delapan puluh Lima</v>
          </cell>
          <cell r="V892" t="str">
            <v xml:space="preserve">ribu </v>
          </cell>
          <cell r="W892" t="str">
            <v>ribu</v>
          </cell>
        </row>
        <row r="893">
          <cell r="T893">
            <v>886</v>
          </cell>
          <cell r="U893" t="str">
            <v>Delapan ratus Delapan puluh Enam</v>
          </cell>
          <cell r="V893" t="str">
            <v xml:space="preserve">ribu </v>
          </cell>
          <cell r="W893" t="str">
            <v>ribu</v>
          </cell>
        </row>
        <row r="894">
          <cell r="T894">
            <v>887</v>
          </cell>
          <cell r="U894" t="str">
            <v>Delapan ratus Delapan puluh Tujuh</v>
          </cell>
          <cell r="V894" t="str">
            <v xml:space="preserve">ribu </v>
          </cell>
          <cell r="W894" t="str">
            <v>ribu</v>
          </cell>
        </row>
        <row r="895">
          <cell r="T895">
            <v>888</v>
          </cell>
          <cell r="U895" t="str">
            <v>Delapan ratus Delapan puluh Delapan</v>
          </cell>
          <cell r="V895" t="str">
            <v xml:space="preserve">ribu </v>
          </cell>
          <cell r="W895" t="str">
            <v>ribu</v>
          </cell>
        </row>
        <row r="896">
          <cell r="T896">
            <v>889</v>
          </cell>
          <cell r="U896" t="str">
            <v>Delapan ratus Delapan puluh Sembilan</v>
          </cell>
          <cell r="V896" t="str">
            <v xml:space="preserve">ribu </v>
          </cell>
          <cell r="W896" t="str">
            <v>ribu</v>
          </cell>
        </row>
        <row r="897">
          <cell r="T897">
            <v>890</v>
          </cell>
          <cell r="U897" t="str">
            <v xml:space="preserve">Delapan ratus Sembilan puluh </v>
          </cell>
          <cell r="V897" t="str">
            <v xml:space="preserve">ribu </v>
          </cell>
          <cell r="W897" t="str">
            <v>ribu</v>
          </cell>
        </row>
        <row r="898">
          <cell r="T898">
            <v>891</v>
          </cell>
          <cell r="U898" t="str">
            <v>Delapan ratus Sembilan puluh Satu</v>
          </cell>
          <cell r="V898" t="str">
            <v xml:space="preserve">ribu </v>
          </cell>
          <cell r="W898" t="str">
            <v>ribu</v>
          </cell>
        </row>
        <row r="899">
          <cell r="T899">
            <v>892</v>
          </cell>
          <cell r="U899" t="str">
            <v>Delapan ratus Sembilan puluh Dua</v>
          </cell>
          <cell r="V899" t="str">
            <v xml:space="preserve">ribu </v>
          </cell>
          <cell r="W899" t="str">
            <v>ribu</v>
          </cell>
        </row>
        <row r="900">
          <cell r="T900">
            <v>893</v>
          </cell>
          <cell r="U900" t="str">
            <v>Delapan ratus Sembilan puluh Tiga</v>
          </cell>
          <cell r="V900" t="str">
            <v xml:space="preserve">ribu </v>
          </cell>
          <cell r="W900" t="str">
            <v>ribu</v>
          </cell>
        </row>
        <row r="901">
          <cell r="T901">
            <v>894</v>
          </cell>
          <cell r="U901" t="str">
            <v>Delapan ratus Sembilan puluh Empat</v>
          </cell>
          <cell r="V901" t="str">
            <v xml:space="preserve">ribu </v>
          </cell>
          <cell r="W901" t="str">
            <v>ribu</v>
          </cell>
        </row>
        <row r="902">
          <cell r="T902">
            <v>895</v>
          </cell>
          <cell r="U902" t="str">
            <v>Delapan ratus Sembilan puluh Lima</v>
          </cell>
          <cell r="V902" t="str">
            <v xml:space="preserve">ribu </v>
          </cell>
          <cell r="W902" t="str">
            <v>ribu</v>
          </cell>
        </row>
        <row r="903">
          <cell r="T903">
            <v>896</v>
          </cell>
          <cell r="U903" t="str">
            <v>Delapan ratus Sembilan puluh Enam</v>
          </cell>
          <cell r="V903" t="str">
            <v xml:space="preserve">ribu </v>
          </cell>
          <cell r="W903" t="str">
            <v>ribu</v>
          </cell>
        </row>
        <row r="904">
          <cell r="T904">
            <v>897</v>
          </cell>
          <cell r="U904" t="str">
            <v>Delapan ratus Sembilan puluh Tujuh</v>
          </cell>
          <cell r="V904" t="str">
            <v xml:space="preserve">ribu </v>
          </cell>
          <cell r="W904" t="str">
            <v>ribu</v>
          </cell>
        </row>
        <row r="905">
          <cell r="T905">
            <v>898</v>
          </cell>
          <cell r="U905" t="str">
            <v>Delapan ratus Sembilan puluh Delapan</v>
          </cell>
          <cell r="V905" t="str">
            <v xml:space="preserve">ribu </v>
          </cell>
          <cell r="W905" t="str">
            <v>ribu</v>
          </cell>
        </row>
        <row r="906">
          <cell r="T906">
            <v>899</v>
          </cell>
          <cell r="U906" t="str">
            <v>Delapan ratus Sembilan puluh Sembilan</v>
          </cell>
          <cell r="V906" t="str">
            <v xml:space="preserve">ribu </v>
          </cell>
          <cell r="W906" t="str">
            <v>ribu</v>
          </cell>
        </row>
        <row r="907">
          <cell r="T907">
            <v>900</v>
          </cell>
          <cell r="U907" t="str">
            <v xml:space="preserve">Sembilan ratus </v>
          </cell>
          <cell r="V907" t="str">
            <v xml:space="preserve">ribu </v>
          </cell>
          <cell r="W907" t="str">
            <v>ribu</v>
          </cell>
        </row>
        <row r="908">
          <cell r="T908">
            <v>901</v>
          </cell>
          <cell r="U908" t="str">
            <v>Sembilan ratus Satu</v>
          </cell>
          <cell r="V908" t="str">
            <v xml:space="preserve">ribu </v>
          </cell>
          <cell r="W908" t="str">
            <v>ribu</v>
          </cell>
        </row>
        <row r="909">
          <cell r="T909">
            <v>902</v>
          </cell>
          <cell r="U909" t="str">
            <v>Sembilan ratus Dua</v>
          </cell>
          <cell r="V909" t="str">
            <v xml:space="preserve">ribu </v>
          </cell>
          <cell r="W909" t="str">
            <v>ribu</v>
          </cell>
        </row>
        <row r="910">
          <cell r="T910">
            <v>903</v>
          </cell>
          <cell r="U910" t="str">
            <v>Sembilan ratus Tiga</v>
          </cell>
          <cell r="V910" t="str">
            <v xml:space="preserve">ribu </v>
          </cell>
          <cell r="W910" t="str">
            <v>ribu</v>
          </cell>
        </row>
        <row r="911">
          <cell r="T911">
            <v>904</v>
          </cell>
          <cell r="U911" t="str">
            <v>Sembilan ratus Empat</v>
          </cell>
          <cell r="V911" t="str">
            <v xml:space="preserve">ribu </v>
          </cell>
          <cell r="W911" t="str">
            <v>ribu</v>
          </cell>
        </row>
        <row r="912">
          <cell r="T912">
            <v>905</v>
          </cell>
          <cell r="U912" t="str">
            <v>Sembilan ratus Lima</v>
          </cell>
          <cell r="V912" t="str">
            <v xml:space="preserve">ribu </v>
          </cell>
          <cell r="W912" t="str">
            <v>ribu</v>
          </cell>
        </row>
        <row r="913">
          <cell r="T913">
            <v>906</v>
          </cell>
          <cell r="U913" t="str">
            <v>Sembilan ratus Enam</v>
          </cell>
          <cell r="V913" t="str">
            <v xml:space="preserve">ribu </v>
          </cell>
          <cell r="W913" t="str">
            <v>ribu</v>
          </cell>
        </row>
        <row r="914">
          <cell r="T914">
            <v>907</v>
          </cell>
          <cell r="U914" t="str">
            <v>Sembilan ratus Tujuh</v>
          </cell>
          <cell r="V914" t="str">
            <v xml:space="preserve">ribu </v>
          </cell>
          <cell r="W914" t="str">
            <v>ribu</v>
          </cell>
        </row>
        <row r="915">
          <cell r="T915">
            <v>908</v>
          </cell>
          <cell r="U915" t="str">
            <v>Sembilan ratus Delapan</v>
          </cell>
          <cell r="V915" t="str">
            <v xml:space="preserve">ribu </v>
          </cell>
          <cell r="W915" t="str">
            <v>ribu</v>
          </cell>
        </row>
        <row r="916">
          <cell r="T916">
            <v>909</v>
          </cell>
          <cell r="U916" t="str">
            <v>Sembilan ratus Sembilan</v>
          </cell>
          <cell r="V916" t="str">
            <v xml:space="preserve">ribu </v>
          </cell>
          <cell r="W916" t="str">
            <v>ribu</v>
          </cell>
        </row>
        <row r="917">
          <cell r="T917">
            <v>910</v>
          </cell>
          <cell r="U917" t="str">
            <v>Sembilan ratus Sepuluh</v>
          </cell>
          <cell r="V917" t="str">
            <v xml:space="preserve">ribu </v>
          </cell>
          <cell r="W917" t="str">
            <v>ribu</v>
          </cell>
        </row>
        <row r="918">
          <cell r="T918">
            <v>911</v>
          </cell>
          <cell r="U918" t="str">
            <v>Sembilan ratus Sebelas</v>
          </cell>
          <cell r="V918" t="str">
            <v xml:space="preserve">ribu </v>
          </cell>
          <cell r="W918" t="str">
            <v>ribu</v>
          </cell>
        </row>
        <row r="919">
          <cell r="T919">
            <v>912</v>
          </cell>
          <cell r="U919" t="str">
            <v>Sembilan ratus Dua belas</v>
          </cell>
          <cell r="V919" t="str">
            <v xml:space="preserve">ribu </v>
          </cell>
          <cell r="W919" t="str">
            <v>ribu</v>
          </cell>
        </row>
        <row r="920">
          <cell r="T920">
            <v>913</v>
          </cell>
          <cell r="U920" t="str">
            <v>Sembilan ratus Tiga belas</v>
          </cell>
          <cell r="V920" t="str">
            <v xml:space="preserve">ribu </v>
          </cell>
          <cell r="W920" t="str">
            <v>ribu</v>
          </cell>
        </row>
        <row r="921">
          <cell r="T921">
            <v>914</v>
          </cell>
          <cell r="U921" t="str">
            <v>Sembilan ratus Empat belas</v>
          </cell>
          <cell r="V921" t="str">
            <v xml:space="preserve">ribu </v>
          </cell>
          <cell r="W921" t="str">
            <v>ribu</v>
          </cell>
        </row>
        <row r="922">
          <cell r="T922">
            <v>915</v>
          </cell>
          <cell r="U922" t="str">
            <v>Sembilan ratus Lima belas</v>
          </cell>
          <cell r="V922" t="str">
            <v xml:space="preserve">ribu </v>
          </cell>
          <cell r="W922" t="str">
            <v>ribu</v>
          </cell>
        </row>
        <row r="923">
          <cell r="T923">
            <v>916</v>
          </cell>
          <cell r="U923" t="str">
            <v>Sembilan ratus Enam belas</v>
          </cell>
          <cell r="V923" t="str">
            <v xml:space="preserve">ribu </v>
          </cell>
          <cell r="W923" t="str">
            <v>ribu</v>
          </cell>
        </row>
        <row r="924">
          <cell r="T924">
            <v>917</v>
          </cell>
          <cell r="U924" t="str">
            <v>Sembilan ratus Tujuh belas</v>
          </cell>
          <cell r="V924" t="str">
            <v xml:space="preserve">ribu </v>
          </cell>
          <cell r="W924" t="str">
            <v>ribu</v>
          </cell>
        </row>
        <row r="925">
          <cell r="T925">
            <v>918</v>
          </cell>
          <cell r="U925" t="str">
            <v>Sembilan ratus Delapan belas</v>
          </cell>
          <cell r="V925" t="str">
            <v xml:space="preserve">ribu </v>
          </cell>
          <cell r="W925" t="str">
            <v>ribu</v>
          </cell>
        </row>
        <row r="926">
          <cell r="T926">
            <v>919</v>
          </cell>
          <cell r="U926" t="str">
            <v>Sembilan ratus Sembilan belas</v>
          </cell>
          <cell r="V926" t="str">
            <v xml:space="preserve">ribu </v>
          </cell>
          <cell r="W926" t="str">
            <v>ribu</v>
          </cell>
        </row>
        <row r="927">
          <cell r="T927">
            <v>920</v>
          </cell>
          <cell r="U927" t="str">
            <v xml:space="preserve">Sembilan ratus Dua puluh </v>
          </cell>
          <cell r="V927" t="str">
            <v xml:space="preserve">ribu </v>
          </cell>
          <cell r="W927" t="str">
            <v>ribu</v>
          </cell>
        </row>
        <row r="928">
          <cell r="T928">
            <v>921</v>
          </cell>
          <cell r="U928" t="str">
            <v>Sembilan ratus Dua puluh Satu</v>
          </cell>
          <cell r="V928" t="str">
            <v xml:space="preserve">ribu </v>
          </cell>
          <cell r="W928" t="str">
            <v>ribu</v>
          </cell>
        </row>
        <row r="929">
          <cell r="T929">
            <v>922</v>
          </cell>
          <cell r="U929" t="str">
            <v>Sembilan ratus Dua puluh Dua</v>
          </cell>
          <cell r="V929" t="str">
            <v xml:space="preserve">ribu </v>
          </cell>
          <cell r="W929" t="str">
            <v>ribu</v>
          </cell>
        </row>
        <row r="930">
          <cell r="T930">
            <v>923</v>
          </cell>
          <cell r="U930" t="str">
            <v>Sembilan ratus Dua puluh Tiga</v>
          </cell>
          <cell r="V930" t="str">
            <v xml:space="preserve">ribu </v>
          </cell>
          <cell r="W930" t="str">
            <v>ribu</v>
          </cell>
        </row>
        <row r="931">
          <cell r="T931">
            <v>924</v>
          </cell>
          <cell r="U931" t="str">
            <v>Sembilan ratus Dua puluh Empat</v>
          </cell>
          <cell r="V931" t="str">
            <v xml:space="preserve">ribu </v>
          </cell>
          <cell r="W931" t="str">
            <v>ribu</v>
          </cell>
        </row>
        <row r="932">
          <cell r="T932">
            <v>925</v>
          </cell>
          <cell r="U932" t="str">
            <v>Sembilan ratus Dua puluh Lima</v>
          </cell>
          <cell r="V932" t="str">
            <v xml:space="preserve">ribu </v>
          </cell>
          <cell r="W932" t="str">
            <v>ribu</v>
          </cell>
        </row>
        <row r="933">
          <cell r="T933">
            <v>926</v>
          </cell>
          <cell r="U933" t="str">
            <v>Sembilan ratus Dua puluh Enam</v>
          </cell>
          <cell r="V933" t="str">
            <v xml:space="preserve">ribu </v>
          </cell>
          <cell r="W933" t="str">
            <v>ribu</v>
          </cell>
        </row>
        <row r="934">
          <cell r="T934">
            <v>927</v>
          </cell>
          <cell r="U934" t="str">
            <v>Sembilan ratus Dua puluh Tujuh</v>
          </cell>
          <cell r="V934" t="str">
            <v xml:space="preserve">ribu </v>
          </cell>
          <cell r="W934" t="str">
            <v>ribu</v>
          </cell>
        </row>
        <row r="935">
          <cell r="T935">
            <v>928</v>
          </cell>
          <cell r="U935" t="str">
            <v>Sembilan ratus Dua puluh Delapan</v>
          </cell>
          <cell r="V935" t="str">
            <v xml:space="preserve">ribu </v>
          </cell>
          <cell r="W935" t="str">
            <v>ribu</v>
          </cell>
        </row>
        <row r="936">
          <cell r="T936">
            <v>929</v>
          </cell>
          <cell r="U936" t="str">
            <v>Sembilan ratus Dua puluh Sembilan</v>
          </cell>
          <cell r="V936" t="str">
            <v xml:space="preserve">ribu </v>
          </cell>
          <cell r="W936" t="str">
            <v>ribu</v>
          </cell>
        </row>
        <row r="937">
          <cell r="T937">
            <v>930</v>
          </cell>
          <cell r="U937" t="str">
            <v xml:space="preserve">Sembilan ratus Tiga puluh </v>
          </cell>
          <cell r="V937" t="str">
            <v xml:space="preserve">ribu </v>
          </cell>
          <cell r="W937" t="str">
            <v>ribu</v>
          </cell>
        </row>
        <row r="938">
          <cell r="T938">
            <v>931</v>
          </cell>
          <cell r="U938" t="str">
            <v>Sembilan ratus Tiga puluh Satu</v>
          </cell>
          <cell r="V938" t="str">
            <v xml:space="preserve">ribu </v>
          </cell>
          <cell r="W938" t="str">
            <v>ribu</v>
          </cell>
        </row>
        <row r="939">
          <cell r="T939">
            <v>932</v>
          </cell>
          <cell r="U939" t="str">
            <v>Sembilan ratus Tiga puluh Dua</v>
          </cell>
          <cell r="V939" t="str">
            <v xml:space="preserve">ribu </v>
          </cell>
          <cell r="W939" t="str">
            <v>ribu</v>
          </cell>
        </row>
        <row r="940">
          <cell r="T940">
            <v>933</v>
          </cell>
          <cell r="U940" t="str">
            <v>Sembilan ratus Tiga puluh Tiga</v>
          </cell>
          <cell r="V940" t="str">
            <v xml:space="preserve">ribu </v>
          </cell>
          <cell r="W940" t="str">
            <v>ribu</v>
          </cell>
        </row>
        <row r="941">
          <cell r="T941">
            <v>934</v>
          </cell>
          <cell r="U941" t="str">
            <v>Sembilan ratus Tiga puluh Empat</v>
          </cell>
          <cell r="V941" t="str">
            <v xml:space="preserve">ribu </v>
          </cell>
          <cell r="W941" t="str">
            <v>ribu</v>
          </cell>
        </row>
        <row r="942">
          <cell r="T942">
            <v>935</v>
          </cell>
          <cell r="U942" t="str">
            <v>Sembilan ratus Tiga puluh Lima</v>
          </cell>
          <cell r="V942" t="str">
            <v xml:space="preserve">ribu </v>
          </cell>
          <cell r="W942" t="str">
            <v>ribu</v>
          </cell>
        </row>
        <row r="943">
          <cell r="T943">
            <v>936</v>
          </cell>
          <cell r="U943" t="str">
            <v>Sembilan ratus Tiga puluh Enam</v>
          </cell>
          <cell r="V943" t="str">
            <v xml:space="preserve">ribu </v>
          </cell>
          <cell r="W943" t="str">
            <v>ribu</v>
          </cell>
        </row>
        <row r="944">
          <cell r="T944">
            <v>937</v>
          </cell>
          <cell r="U944" t="str">
            <v>Sembilan ratus Tiga puluh Tujuh</v>
          </cell>
          <cell r="V944" t="str">
            <v xml:space="preserve">ribu </v>
          </cell>
          <cell r="W944" t="str">
            <v>ribu</v>
          </cell>
        </row>
        <row r="945">
          <cell r="T945">
            <v>938</v>
          </cell>
          <cell r="U945" t="str">
            <v>Sembilan ratus Tiga puluh Delapan</v>
          </cell>
          <cell r="V945" t="str">
            <v xml:space="preserve">ribu </v>
          </cell>
          <cell r="W945" t="str">
            <v>ribu</v>
          </cell>
        </row>
        <row r="946">
          <cell r="T946">
            <v>939</v>
          </cell>
          <cell r="U946" t="str">
            <v>Sembilan ratus Tiga puluh Sembilan</v>
          </cell>
          <cell r="V946" t="str">
            <v xml:space="preserve">ribu </v>
          </cell>
          <cell r="W946" t="str">
            <v>ribu</v>
          </cell>
        </row>
        <row r="947">
          <cell r="T947">
            <v>940</v>
          </cell>
          <cell r="U947" t="str">
            <v xml:space="preserve">Sembilan ratus Empat puluh </v>
          </cell>
          <cell r="V947" t="str">
            <v xml:space="preserve">ribu </v>
          </cell>
          <cell r="W947" t="str">
            <v>ribu</v>
          </cell>
        </row>
        <row r="948">
          <cell r="T948">
            <v>941</v>
          </cell>
          <cell r="U948" t="str">
            <v>Sembilan ratus Empat puluh Satu</v>
          </cell>
          <cell r="V948" t="str">
            <v xml:space="preserve">ribu </v>
          </cell>
          <cell r="W948" t="str">
            <v>ribu</v>
          </cell>
        </row>
        <row r="949">
          <cell r="T949">
            <v>942</v>
          </cell>
          <cell r="U949" t="str">
            <v>Sembilan ratus Empat puluh Dua</v>
          </cell>
          <cell r="V949" t="str">
            <v xml:space="preserve">ribu </v>
          </cell>
          <cell r="W949" t="str">
            <v>ribu</v>
          </cell>
        </row>
        <row r="950">
          <cell r="T950">
            <v>943</v>
          </cell>
          <cell r="U950" t="str">
            <v>Sembilan ratus Empat puluh Tiga</v>
          </cell>
          <cell r="V950" t="str">
            <v xml:space="preserve">ribu </v>
          </cell>
          <cell r="W950" t="str">
            <v>ribu</v>
          </cell>
        </row>
        <row r="951">
          <cell r="T951">
            <v>944</v>
          </cell>
          <cell r="U951" t="str">
            <v>Sembilan ratus Empat puluh Empat</v>
          </cell>
          <cell r="V951" t="str">
            <v xml:space="preserve">ribu </v>
          </cell>
          <cell r="W951" t="str">
            <v>ribu</v>
          </cell>
        </row>
        <row r="952">
          <cell r="T952">
            <v>945</v>
          </cell>
          <cell r="U952" t="str">
            <v>Sembilan ratus Empat puluh Lima</v>
          </cell>
          <cell r="V952" t="str">
            <v xml:space="preserve">ribu </v>
          </cell>
          <cell r="W952" t="str">
            <v>ribu</v>
          </cell>
        </row>
        <row r="953">
          <cell r="T953">
            <v>946</v>
          </cell>
          <cell r="U953" t="str">
            <v>Sembilan ratus Empat puluh Enam</v>
          </cell>
          <cell r="V953" t="str">
            <v xml:space="preserve">ribu </v>
          </cell>
          <cell r="W953" t="str">
            <v>ribu</v>
          </cell>
        </row>
        <row r="954">
          <cell r="T954">
            <v>947</v>
          </cell>
          <cell r="U954" t="str">
            <v>Sembilan ratus Empat puluh Tujuh</v>
          </cell>
          <cell r="V954" t="str">
            <v xml:space="preserve">ribu </v>
          </cell>
          <cell r="W954" t="str">
            <v>ribu</v>
          </cell>
        </row>
        <row r="955">
          <cell r="T955">
            <v>948</v>
          </cell>
          <cell r="U955" t="str">
            <v>Sembilan ratus Empat puluh Delapan</v>
          </cell>
          <cell r="V955" t="str">
            <v xml:space="preserve">ribu </v>
          </cell>
          <cell r="W955" t="str">
            <v>ribu</v>
          </cell>
        </row>
        <row r="956">
          <cell r="T956">
            <v>949</v>
          </cell>
          <cell r="U956" t="str">
            <v>Sembilan ratus Empat puluh Sembilan</v>
          </cell>
          <cell r="V956" t="str">
            <v xml:space="preserve">ribu </v>
          </cell>
          <cell r="W956" t="str">
            <v>ribu</v>
          </cell>
        </row>
        <row r="957">
          <cell r="T957">
            <v>950</v>
          </cell>
          <cell r="U957" t="str">
            <v xml:space="preserve">Sembilan ratus Lima puluh </v>
          </cell>
          <cell r="V957" t="str">
            <v xml:space="preserve">ribu </v>
          </cell>
          <cell r="W957" t="str">
            <v>ribu</v>
          </cell>
        </row>
        <row r="958">
          <cell r="T958">
            <v>951</v>
          </cell>
          <cell r="U958" t="str">
            <v>Sembilan ratus Lima puluh Satu</v>
          </cell>
          <cell r="V958" t="str">
            <v xml:space="preserve">ribu </v>
          </cell>
          <cell r="W958" t="str">
            <v>ribu</v>
          </cell>
        </row>
        <row r="959">
          <cell r="T959">
            <v>952</v>
          </cell>
          <cell r="U959" t="str">
            <v>Sembilan ratus Lima puluh Dua</v>
          </cell>
          <cell r="V959" t="str">
            <v xml:space="preserve">ribu </v>
          </cell>
          <cell r="W959" t="str">
            <v>ribu</v>
          </cell>
        </row>
        <row r="960">
          <cell r="T960">
            <v>953</v>
          </cell>
          <cell r="U960" t="str">
            <v>Sembilan ratus Lima puluh Tiga</v>
          </cell>
          <cell r="V960" t="str">
            <v xml:space="preserve">ribu </v>
          </cell>
          <cell r="W960" t="str">
            <v>ribu</v>
          </cell>
        </row>
        <row r="961">
          <cell r="T961">
            <v>954</v>
          </cell>
          <cell r="U961" t="str">
            <v>Sembilan ratus Lima puluh Empat</v>
          </cell>
          <cell r="V961" t="str">
            <v xml:space="preserve">ribu </v>
          </cell>
          <cell r="W961" t="str">
            <v>ribu</v>
          </cell>
        </row>
        <row r="962">
          <cell r="T962">
            <v>955</v>
          </cell>
          <cell r="U962" t="str">
            <v>Sembilan ratus Lima puluh Lima</v>
          </cell>
          <cell r="V962" t="str">
            <v xml:space="preserve">ribu </v>
          </cell>
          <cell r="W962" t="str">
            <v>ribu</v>
          </cell>
        </row>
        <row r="963">
          <cell r="T963">
            <v>956</v>
          </cell>
          <cell r="U963" t="str">
            <v>Sembilan ratus Lima puluh Enam</v>
          </cell>
          <cell r="V963" t="str">
            <v xml:space="preserve">ribu </v>
          </cell>
          <cell r="W963" t="str">
            <v>ribu</v>
          </cell>
        </row>
        <row r="964">
          <cell r="T964">
            <v>957</v>
          </cell>
          <cell r="U964" t="str">
            <v>Sembilan ratus Lima puluh Tujuh</v>
          </cell>
          <cell r="V964" t="str">
            <v xml:space="preserve">ribu </v>
          </cell>
          <cell r="W964" t="str">
            <v>ribu</v>
          </cell>
        </row>
        <row r="965">
          <cell r="T965">
            <v>958</v>
          </cell>
          <cell r="U965" t="str">
            <v>Sembilan ratus Lima puluh Delapan</v>
          </cell>
          <cell r="V965" t="str">
            <v xml:space="preserve">ribu </v>
          </cell>
          <cell r="W965" t="str">
            <v>ribu</v>
          </cell>
        </row>
        <row r="966">
          <cell r="T966">
            <v>959</v>
          </cell>
          <cell r="U966" t="str">
            <v>Sembilan ratus Lima puluh Sembilan</v>
          </cell>
          <cell r="V966" t="str">
            <v xml:space="preserve">ribu </v>
          </cell>
          <cell r="W966" t="str">
            <v>ribu</v>
          </cell>
        </row>
        <row r="967">
          <cell r="T967">
            <v>960</v>
          </cell>
          <cell r="U967" t="str">
            <v xml:space="preserve">Sembilan ratus Enam puluh </v>
          </cell>
          <cell r="V967" t="str">
            <v xml:space="preserve">ribu </v>
          </cell>
          <cell r="W967" t="str">
            <v>ribu</v>
          </cell>
        </row>
        <row r="968">
          <cell r="T968">
            <v>961</v>
          </cell>
          <cell r="U968" t="str">
            <v>Sembilan ratus Enam puluh Satu</v>
          </cell>
          <cell r="V968" t="str">
            <v xml:space="preserve">ribu </v>
          </cell>
          <cell r="W968" t="str">
            <v>ribu</v>
          </cell>
        </row>
        <row r="969">
          <cell r="T969">
            <v>962</v>
          </cell>
          <cell r="U969" t="str">
            <v>Sembilan ratus Enam puluh Dua</v>
          </cell>
          <cell r="V969" t="str">
            <v xml:space="preserve">ribu </v>
          </cell>
          <cell r="W969" t="str">
            <v>ribu</v>
          </cell>
        </row>
        <row r="970">
          <cell r="T970">
            <v>963</v>
          </cell>
          <cell r="U970" t="str">
            <v>Sembilan ratus Enam puluh Tiga</v>
          </cell>
          <cell r="V970" t="str">
            <v xml:space="preserve">ribu </v>
          </cell>
          <cell r="W970" t="str">
            <v>ribu</v>
          </cell>
        </row>
        <row r="971">
          <cell r="T971">
            <v>964</v>
          </cell>
          <cell r="U971" t="str">
            <v>Sembilan ratus Enam puluh Empat</v>
          </cell>
          <cell r="V971" t="str">
            <v xml:space="preserve">ribu </v>
          </cell>
          <cell r="W971" t="str">
            <v>ribu</v>
          </cell>
        </row>
        <row r="972">
          <cell r="T972">
            <v>965</v>
          </cell>
          <cell r="U972" t="str">
            <v>Sembilan ratus Enam puluh Lima</v>
          </cell>
          <cell r="V972" t="str">
            <v xml:space="preserve">ribu </v>
          </cell>
          <cell r="W972" t="str">
            <v>ribu</v>
          </cell>
        </row>
        <row r="973">
          <cell r="T973">
            <v>966</v>
          </cell>
          <cell r="U973" t="str">
            <v>Sembilan ratus Enam puluh Enam</v>
          </cell>
          <cell r="V973" t="str">
            <v xml:space="preserve">ribu </v>
          </cell>
          <cell r="W973" t="str">
            <v>ribu</v>
          </cell>
        </row>
        <row r="974">
          <cell r="T974">
            <v>967</v>
          </cell>
          <cell r="U974" t="str">
            <v>Sembilan ratus Enam puluh Tujuh</v>
          </cell>
          <cell r="V974" t="str">
            <v xml:space="preserve">ribu </v>
          </cell>
          <cell r="W974" t="str">
            <v>ribu</v>
          </cell>
        </row>
        <row r="975">
          <cell r="T975">
            <v>968</v>
          </cell>
          <cell r="U975" t="str">
            <v>Sembilan ratus Enam puluh Delapan</v>
          </cell>
          <cell r="V975" t="str">
            <v xml:space="preserve">ribu </v>
          </cell>
          <cell r="W975" t="str">
            <v>ribu</v>
          </cell>
        </row>
        <row r="976">
          <cell r="T976">
            <v>969</v>
          </cell>
          <cell r="U976" t="str">
            <v>Sembilan ratus Enam puluh Sembilan</v>
          </cell>
          <cell r="V976" t="str">
            <v xml:space="preserve">ribu </v>
          </cell>
          <cell r="W976" t="str">
            <v>ribu</v>
          </cell>
        </row>
        <row r="977">
          <cell r="T977">
            <v>970</v>
          </cell>
          <cell r="U977" t="str">
            <v xml:space="preserve">Sembilan ratus Tujuh puluh </v>
          </cell>
          <cell r="V977" t="str">
            <v xml:space="preserve">ribu </v>
          </cell>
          <cell r="W977" t="str">
            <v>ribu</v>
          </cell>
        </row>
        <row r="978">
          <cell r="T978">
            <v>971</v>
          </cell>
          <cell r="U978" t="str">
            <v>Sembilan ratus Tujuh puluh Satu</v>
          </cell>
          <cell r="V978" t="str">
            <v xml:space="preserve">ribu </v>
          </cell>
          <cell r="W978" t="str">
            <v>ribu</v>
          </cell>
        </row>
        <row r="979">
          <cell r="T979">
            <v>972</v>
          </cell>
          <cell r="U979" t="str">
            <v>Sembilan ratus Tujuh puluh Dua</v>
          </cell>
          <cell r="V979" t="str">
            <v xml:space="preserve">ribu </v>
          </cell>
          <cell r="W979" t="str">
            <v>ribu</v>
          </cell>
        </row>
        <row r="980">
          <cell r="T980">
            <v>973</v>
          </cell>
          <cell r="U980" t="str">
            <v>Sembilan ratus Tujuh puluh Tiga</v>
          </cell>
          <cell r="V980" t="str">
            <v xml:space="preserve">ribu </v>
          </cell>
          <cell r="W980" t="str">
            <v>ribu</v>
          </cell>
        </row>
        <row r="981">
          <cell r="T981">
            <v>974</v>
          </cell>
          <cell r="U981" t="str">
            <v>Sembilan ratus Tujuh puluh Empat</v>
          </cell>
          <cell r="V981" t="str">
            <v xml:space="preserve">ribu </v>
          </cell>
          <cell r="W981" t="str">
            <v>ribu</v>
          </cell>
        </row>
        <row r="982">
          <cell r="T982">
            <v>975</v>
          </cell>
          <cell r="U982" t="str">
            <v>Sembilan ratus Tujuh puluh Lima</v>
          </cell>
          <cell r="V982" t="str">
            <v xml:space="preserve">ribu </v>
          </cell>
          <cell r="W982" t="str">
            <v>ribu</v>
          </cell>
        </row>
        <row r="983">
          <cell r="T983">
            <v>976</v>
          </cell>
          <cell r="U983" t="str">
            <v>Sembilan ratus Tujuh puluh Enam</v>
          </cell>
          <cell r="V983" t="str">
            <v xml:space="preserve">ribu </v>
          </cell>
          <cell r="W983" t="str">
            <v>ribu</v>
          </cell>
        </row>
        <row r="984">
          <cell r="T984">
            <v>977</v>
          </cell>
          <cell r="U984" t="str">
            <v>Sembilan ratus Tujuh puluh Tujuh</v>
          </cell>
          <cell r="V984" t="str">
            <v xml:space="preserve">ribu </v>
          </cell>
          <cell r="W984" t="str">
            <v>ribu</v>
          </cell>
        </row>
        <row r="985">
          <cell r="T985">
            <v>978</v>
          </cell>
          <cell r="U985" t="str">
            <v>Sembilan ratus Tujuh puluh Delapan</v>
          </cell>
          <cell r="V985" t="str">
            <v xml:space="preserve">ribu </v>
          </cell>
          <cell r="W985" t="str">
            <v>ribu</v>
          </cell>
        </row>
        <row r="986">
          <cell r="T986">
            <v>979</v>
          </cell>
          <cell r="U986" t="str">
            <v>Sembilan ratus Tujuh puluh Sembilan</v>
          </cell>
          <cell r="V986" t="str">
            <v xml:space="preserve">ribu </v>
          </cell>
          <cell r="W986" t="str">
            <v>ribu</v>
          </cell>
        </row>
        <row r="987">
          <cell r="T987">
            <v>980</v>
          </cell>
          <cell r="U987" t="str">
            <v xml:space="preserve">Sembilan ratus Delapan puluh </v>
          </cell>
          <cell r="V987" t="str">
            <v xml:space="preserve">ribu </v>
          </cell>
          <cell r="W987" t="str">
            <v>ribu</v>
          </cell>
        </row>
        <row r="988">
          <cell r="T988">
            <v>981</v>
          </cell>
          <cell r="U988" t="str">
            <v>Sembilan ratus Delapan puluh Satu</v>
          </cell>
          <cell r="V988" t="str">
            <v xml:space="preserve">ribu </v>
          </cell>
          <cell r="W988" t="str">
            <v>ribu</v>
          </cell>
        </row>
        <row r="989">
          <cell r="T989">
            <v>982</v>
          </cell>
          <cell r="U989" t="str">
            <v>Sembilan ratus Delapan puluh Dua</v>
          </cell>
          <cell r="V989" t="str">
            <v xml:space="preserve">ribu </v>
          </cell>
          <cell r="W989" t="str">
            <v>ribu</v>
          </cell>
        </row>
        <row r="990">
          <cell r="T990">
            <v>983</v>
          </cell>
          <cell r="U990" t="str">
            <v>Sembilan ratus Delapan puluh Tiga</v>
          </cell>
          <cell r="V990" t="str">
            <v xml:space="preserve">ribu </v>
          </cell>
          <cell r="W990" t="str">
            <v>ribu</v>
          </cell>
        </row>
        <row r="991">
          <cell r="T991">
            <v>984</v>
          </cell>
          <cell r="U991" t="str">
            <v>Sembilan ratus Delapan puluh Empat</v>
          </cell>
          <cell r="V991" t="str">
            <v xml:space="preserve">ribu </v>
          </cell>
          <cell r="W991" t="str">
            <v>ribu</v>
          </cell>
        </row>
        <row r="992">
          <cell r="T992">
            <v>985</v>
          </cell>
          <cell r="U992" t="str">
            <v>Sembilan ratus Delapan puluh Lima</v>
          </cell>
          <cell r="V992" t="str">
            <v xml:space="preserve">ribu </v>
          </cell>
          <cell r="W992" t="str">
            <v>ribu</v>
          </cell>
        </row>
        <row r="993">
          <cell r="T993">
            <v>986</v>
          </cell>
          <cell r="U993" t="str">
            <v>Sembilan ratus Delapan puluh Enam</v>
          </cell>
          <cell r="V993" t="str">
            <v xml:space="preserve">ribu </v>
          </cell>
          <cell r="W993" t="str">
            <v>ribu</v>
          </cell>
        </row>
        <row r="994">
          <cell r="T994">
            <v>987</v>
          </cell>
          <cell r="U994" t="str">
            <v>Sembilan ratus Delapan puluh Tujuh</v>
          </cell>
          <cell r="V994" t="str">
            <v xml:space="preserve">ribu </v>
          </cell>
          <cell r="W994" t="str">
            <v>ribu</v>
          </cell>
        </row>
        <row r="995">
          <cell r="T995">
            <v>988</v>
          </cell>
          <cell r="U995" t="str">
            <v>Sembilan ratus Delapan puluh Delapan</v>
          </cell>
          <cell r="V995" t="str">
            <v xml:space="preserve">ribu </v>
          </cell>
          <cell r="W995" t="str">
            <v>ribu</v>
          </cell>
        </row>
        <row r="996">
          <cell r="T996">
            <v>989</v>
          </cell>
          <cell r="U996" t="str">
            <v>Sembilan ratus Delapan puluh Sembilan</v>
          </cell>
          <cell r="V996" t="str">
            <v xml:space="preserve">ribu </v>
          </cell>
          <cell r="W996" t="str">
            <v>ribu</v>
          </cell>
        </row>
        <row r="997">
          <cell r="T997">
            <v>990</v>
          </cell>
          <cell r="U997" t="str">
            <v xml:space="preserve">Sembilan ratus Sembilan puluh </v>
          </cell>
          <cell r="V997" t="str">
            <v xml:space="preserve">ribu </v>
          </cell>
          <cell r="W997" t="str">
            <v>ribu</v>
          </cell>
        </row>
        <row r="998">
          <cell r="T998">
            <v>991</v>
          </cell>
          <cell r="U998" t="str">
            <v>Sembilan ratus Sembilan puluh Satu</v>
          </cell>
          <cell r="V998" t="str">
            <v xml:space="preserve">ribu </v>
          </cell>
          <cell r="W998" t="str">
            <v>ribu</v>
          </cell>
        </row>
        <row r="999">
          <cell r="T999">
            <v>992</v>
          </cell>
          <cell r="U999" t="str">
            <v>Sembilan ratus Sembilan puluh Dua</v>
          </cell>
          <cell r="V999" t="str">
            <v xml:space="preserve">ribu </v>
          </cell>
          <cell r="W999" t="str">
            <v>ribu</v>
          </cell>
        </row>
        <row r="1000">
          <cell r="T1000">
            <v>993</v>
          </cell>
          <cell r="U1000" t="str">
            <v>Sembilan ratus Sembilan puluh Tiga</v>
          </cell>
          <cell r="V1000" t="str">
            <v xml:space="preserve">ribu </v>
          </cell>
          <cell r="W1000" t="str">
            <v>ribu</v>
          </cell>
        </row>
        <row r="1001">
          <cell r="T1001">
            <v>994</v>
          </cell>
          <cell r="U1001" t="str">
            <v>Sembilan ratus Sembilan puluh Empat</v>
          </cell>
          <cell r="V1001" t="str">
            <v xml:space="preserve">ribu </v>
          </cell>
          <cell r="W1001" t="str">
            <v>ribu</v>
          </cell>
        </row>
        <row r="1002">
          <cell r="T1002">
            <v>995</v>
          </cell>
          <cell r="U1002" t="str">
            <v>Sembilan ratus Sembilan puluh Lima</v>
          </cell>
          <cell r="V1002" t="str">
            <v xml:space="preserve">ribu </v>
          </cell>
          <cell r="W1002" t="str">
            <v>ribu</v>
          </cell>
        </row>
        <row r="1003">
          <cell r="T1003">
            <v>996</v>
          </cell>
          <cell r="U1003" t="str">
            <v>Sembilan ratus Sembilan puluh Enam</v>
          </cell>
          <cell r="V1003" t="str">
            <v xml:space="preserve">ribu </v>
          </cell>
          <cell r="W1003" t="str">
            <v>ribu</v>
          </cell>
        </row>
        <row r="1004">
          <cell r="T1004">
            <v>997</v>
          </cell>
          <cell r="U1004" t="str">
            <v>Sembilan ratus Sembilan puluh Tujuh</v>
          </cell>
          <cell r="V1004" t="str">
            <v xml:space="preserve">ribu </v>
          </cell>
          <cell r="W1004" t="str">
            <v>ribu</v>
          </cell>
        </row>
        <row r="1005">
          <cell r="T1005">
            <v>998</v>
          </cell>
          <cell r="U1005" t="str">
            <v>Sembilan ratus Sembilan puluh Delapan</v>
          </cell>
          <cell r="V1005" t="str">
            <v xml:space="preserve">ribu </v>
          </cell>
          <cell r="W1005" t="str">
            <v>ribu</v>
          </cell>
        </row>
        <row r="1006">
          <cell r="T1006">
            <v>999</v>
          </cell>
          <cell r="U1006" t="str">
            <v>Sembilan ratus Sembilan puluh Sembilan</v>
          </cell>
          <cell r="V1006" t="str">
            <v xml:space="preserve">ribu </v>
          </cell>
          <cell r="W1006" t="str">
            <v>ribu</v>
          </cell>
        </row>
        <row r="1007">
          <cell r="T1007">
            <v>1000</v>
          </cell>
          <cell r="U1007" t="str">
            <v>SERIBU</v>
          </cell>
        </row>
        <row r="1008">
          <cell r="T1008" t="str">
            <v>001</v>
          </cell>
          <cell r="U1008" t="str">
            <v>SE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Sheet2 (2)"/>
    </sheetNames>
    <sheetDataSet>
      <sheetData sheetId="0">
        <row r="10">
          <cell r="C10" t="str">
            <v>B.UBTH.I.01</v>
          </cell>
          <cell r="D10" t="str">
            <v>06.1.01.01.01</v>
          </cell>
          <cell r="E10" t="str">
            <v>Gaji pokok karyawan - TP</v>
          </cell>
        </row>
        <row r="11">
          <cell r="C11" t="str">
            <v>B.UBTH.I.02</v>
          </cell>
          <cell r="D11" t="str">
            <v>06.1.01.01.09</v>
          </cell>
          <cell r="E11" t="str">
            <v>Tunjangan BPJS Ketenagakerjaan - TP</v>
          </cell>
        </row>
        <row r="12">
          <cell r="C12" t="str">
            <v>B.UBTH.I.03</v>
          </cell>
          <cell r="D12" t="str">
            <v>06.1.01.01.10</v>
          </cell>
          <cell r="E12" t="str">
            <v>Tunjangan BPJS Kesehatan - TP</v>
          </cell>
        </row>
        <row r="13">
          <cell r="C13" t="str">
            <v>B.UBTH.I.04</v>
          </cell>
          <cell r="D13" t="str">
            <v>06.1.01.01.04</v>
          </cell>
          <cell r="E13" t="str">
            <v>Insentif Senat - TP</v>
          </cell>
        </row>
        <row r="14">
          <cell r="C14" t="str">
            <v>B.UBTH.I.05</v>
          </cell>
          <cell r="D14" t="str">
            <v>06.1.01.01.15</v>
          </cell>
          <cell r="E14" t="str">
            <v>Upah Lembur dan Piket - TP</v>
          </cell>
        </row>
        <row r="15">
          <cell r="C15" t="str">
            <v>B.UBTH.I.06</v>
          </cell>
          <cell r="D15" t="str">
            <v>06.1.01.01.02</v>
          </cell>
          <cell r="E15" t="str">
            <v>Tunjangan Struktural - TP</v>
          </cell>
        </row>
        <row r="16">
          <cell r="C16" t="str">
            <v>B.UBTH.I.07</v>
          </cell>
          <cell r="D16" t="str">
            <v>06.1.01.01.03</v>
          </cell>
          <cell r="E16" t="str">
            <v>Tunjangan fungsional dosen dan tendik - TP</v>
          </cell>
        </row>
        <row r="17">
          <cell r="C17" t="str">
            <v>B.UBTH.I.08</v>
          </cell>
          <cell r="D17" t="str">
            <v>06.1.01.01.06</v>
          </cell>
          <cell r="E17" t="str">
            <v>Tunjangan Hari Raya - TP</v>
          </cell>
        </row>
        <row r="18">
          <cell r="C18" t="str">
            <v>B.UBTH.I.09</v>
          </cell>
          <cell r="D18" t="str">
            <v>06.1.01.07.03</v>
          </cell>
          <cell r="E18" t="str">
            <v>Bantuan Pengembangan Diri - TP</v>
          </cell>
        </row>
        <row r="19">
          <cell r="C19" t="str">
            <v>B.UBTH.I.10</v>
          </cell>
          <cell r="D19" t="str">
            <v>06.1.01.07.04</v>
          </cell>
          <cell r="E19" t="str">
            <v>Penghargaan Karyawan - TP</v>
          </cell>
        </row>
        <row r="20">
          <cell r="C20" t="str">
            <v>B.UBTH.I.11</v>
          </cell>
          <cell r="D20" t="str">
            <v>06.1.01.02.27</v>
          </cell>
          <cell r="E20" t="str">
            <v>Kepanitiaan kegiatan</v>
          </cell>
        </row>
        <row r="22">
          <cell r="C22" t="str">
            <v>B.UBTH.II.01</v>
          </cell>
          <cell r="D22" t="str">
            <v>06.1.02.01.01</v>
          </cell>
          <cell r="E22" t="str">
            <v>Rapat Evaluasi dan Awal Program - TP</v>
          </cell>
        </row>
        <row r="23">
          <cell r="C23" t="str">
            <v>B.UBTH.II.02</v>
          </cell>
          <cell r="D23" t="str">
            <v>06.1.02.01.02</v>
          </cell>
          <cell r="E23" t="str">
            <v>Kartu Tanda Mahasiswa (KTM) - TP</v>
          </cell>
        </row>
        <row r="24">
          <cell r="C24" t="str">
            <v>B.UBTH.II.03</v>
          </cell>
          <cell r="D24" t="str">
            <v>06.1.02.01.03</v>
          </cell>
          <cell r="E24" t="str">
            <v>Dies Natalis Universitas - TP</v>
          </cell>
        </row>
        <row r="25">
          <cell r="C25" t="str">
            <v>B.UBTH.II.04</v>
          </cell>
          <cell r="D25" t="str">
            <v>06.1.02.01.04</v>
          </cell>
          <cell r="E25" t="str">
            <v>Pengembangan Softskill (Rumah Quran) - TP</v>
          </cell>
        </row>
        <row r="27">
          <cell r="C27" t="str">
            <v>B.UBTH.III.01</v>
          </cell>
          <cell r="D27" t="str">
            <v>06.1.02.02.18</v>
          </cell>
          <cell r="E27" t="str">
            <v>Subsidi Pengajuan Paten/ Hak Cipta Penelitian dan PkM  - TP</v>
          </cell>
        </row>
        <row r="28">
          <cell r="C28" t="str">
            <v>B.UBTH.III.02</v>
          </cell>
          <cell r="D28" t="str">
            <v>06.1.02.02.18</v>
          </cell>
          <cell r="E28" t="str">
            <v>Subsidi Pengajuan Paten/ Hak Cipta Penelitian dan PkM  - TP</v>
          </cell>
        </row>
        <row r="29">
          <cell r="C29" t="str">
            <v>B.UBTH.III.03</v>
          </cell>
          <cell r="D29" t="str">
            <v>06.1.02.02.18</v>
          </cell>
          <cell r="E29" t="str">
            <v>Subsidi Pengajuan Paten/ Hak Cipta Penelitian dan PkM  - TP</v>
          </cell>
        </row>
        <row r="30">
          <cell r="C30" t="str">
            <v>B.UBTH.III.04</v>
          </cell>
          <cell r="D30" t="str">
            <v>06.1.02.02.02</v>
          </cell>
          <cell r="E30" t="str">
            <v>Penelitian Fakultas Farmasi - TP</v>
          </cell>
        </row>
        <row r="31">
          <cell r="C31" t="str">
            <v>B.UBTH.III.05</v>
          </cell>
          <cell r="D31" t="str">
            <v>06.1.02.02.02</v>
          </cell>
          <cell r="E31" t="str">
            <v>Penelitian Fakultas Farmasi - TP</v>
          </cell>
        </row>
        <row r="32">
          <cell r="C32" t="str">
            <v>B.UBTH.III.06</v>
          </cell>
          <cell r="D32" t="str">
            <v>06.1.02.02.09</v>
          </cell>
          <cell r="E32" t="str">
            <v>Biaya Pengelolaan Jurnal JKBTH - TP</v>
          </cell>
        </row>
        <row r="33">
          <cell r="C33" t="str">
            <v>B.UBTH.III.07</v>
          </cell>
          <cell r="D33" t="str">
            <v>06.1.02.02.25</v>
          </cell>
          <cell r="E33" t="str">
            <v>Publikasi di Jurnal Nasional Pengabdian Masyarakat - TP</v>
          </cell>
        </row>
        <row r="34">
          <cell r="C34" t="str">
            <v>B.UBTH.III.08</v>
          </cell>
          <cell r="D34" t="str">
            <v>06.1.02.02.20</v>
          </cell>
          <cell r="E34" t="str">
            <v>Implementasi Pengabdian Masyarakat Fakultas Farmasi - TP</v>
          </cell>
        </row>
        <row r="35">
          <cell r="C35" t="str">
            <v>B.UBTH.III.09</v>
          </cell>
          <cell r="D35" t="str">
            <v>06.1.02.02.25</v>
          </cell>
          <cell r="E35" t="str">
            <v>Publikasi di Jurnal Nasional Pengabdian Masyarakat - TP</v>
          </cell>
        </row>
        <row r="36">
          <cell r="C36" t="str">
            <v>B.UBTH.III.10</v>
          </cell>
          <cell r="D36" t="str">
            <v>06.1.02.02.20</v>
          </cell>
          <cell r="E36" t="str">
            <v>Implementasi Pengabdian Masyarakat Fakultas Farmasi - TP</v>
          </cell>
        </row>
        <row r="37">
          <cell r="C37" t="str">
            <v>B.UBTH.III.11</v>
          </cell>
          <cell r="D37" t="str">
            <v>06.1.02.02.03</v>
          </cell>
          <cell r="E37" t="str">
            <v>Penelitian Fakultas Teknologi dan Bisnis - TP</v>
          </cell>
        </row>
        <row r="38">
          <cell r="C38" t="str">
            <v>B.UBTH.III.12</v>
          </cell>
          <cell r="D38" t="str">
            <v>06.1.02.02.05</v>
          </cell>
          <cell r="E38" t="str">
            <v>Pelatihan Tips dan Trik Penulisan Proposal untuk Menembus Hibah - TP</v>
          </cell>
        </row>
        <row r="39">
          <cell r="C39" t="str">
            <v>B.UBTH.III.13</v>
          </cell>
          <cell r="D39" t="str">
            <v>06.1.02.02.07</v>
          </cell>
          <cell r="E39" t="str">
            <v>Penghargaan Prestasi Dosen Berbasis Output LPPM - TP</v>
          </cell>
        </row>
        <row r="40">
          <cell r="C40" t="str">
            <v>B.UBTH.III.14</v>
          </cell>
          <cell r="D40" t="str">
            <v>06.1.02.02.20</v>
          </cell>
          <cell r="E40" t="str">
            <v>Implementasi Pengabdian Masyarakat Fakultas Farmasi - TP</v>
          </cell>
        </row>
        <row r="41">
          <cell r="C41" t="str">
            <v>B.UBTH.III.15</v>
          </cell>
          <cell r="D41" t="str">
            <v>06.1.02.02.20</v>
          </cell>
          <cell r="E41" t="str">
            <v>Implementasi Pengabdian Masyarakat Fakultas Farmasi - TP</v>
          </cell>
        </row>
        <row r="43">
          <cell r="C43" t="str">
            <v>B.UBTH.IV.01</v>
          </cell>
          <cell r="D43" t="str">
            <v>06.1.02.03.03</v>
          </cell>
          <cell r="E43" t="str">
            <v>Pencapaian Prestasi Mahasiswa - TP</v>
          </cell>
        </row>
        <row r="44">
          <cell r="C44" t="str">
            <v>B.UBTH.IV.02</v>
          </cell>
          <cell r="D44" t="str">
            <v>06.1.02.03.02</v>
          </cell>
          <cell r="E44" t="str">
            <v>Pendidikan Bela Negara (PBN) - TP</v>
          </cell>
        </row>
        <row r="45">
          <cell r="C45" t="str">
            <v>B.UBTH.IV.03</v>
          </cell>
          <cell r="D45" t="str">
            <v>06.1.02.03.05</v>
          </cell>
          <cell r="E45" t="str">
            <v>Beasiswa Prestasi Akademik (BPA) - TP</v>
          </cell>
        </row>
        <row r="46">
          <cell r="C46" t="str">
            <v>B.UBTH.IV.04</v>
          </cell>
          <cell r="D46" t="str">
            <v>06.1.02.03.07</v>
          </cell>
          <cell r="E46" t="str">
            <v>Jaminan Pemeliharaan Kesehatan Masyarakat (JPKM) - TP</v>
          </cell>
        </row>
        <row r="47">
          <cell r="C47" t="str">
            <v>B.UBTH.IV.05</v>
          </cell>
          <cell r="D47" t="str">
            <v>06.1.02.03.09</v>
          </cell>
          <cell r="E47" t="str">
            <v>Pengenalan Kehidupan Kampus bagi Mahasiswa Baru (PKKMB)  - TP</v>
          </cell>
        </row>
        <row r="48">
          <cell r="C48" t="str">
            <v>B.UBTH.IV.06</v>
          </cell>
          <cell r="D48" t="str">
            <v>06.1.02.03.11</v>
          </cell>
          <cell r="E48" t="str">
            <v>Iuran APTISI - TP</v>
          </cell>
        </row>
        <row r="49">
          <cell r="C49" t="str">
            <v>B.UBTH.IV.07</v>
          </cell>
          <cell r="D49" t="str">
            <v>06.1.02.03.12</v>
          </cell>
          <cell r="E49" t="str">
            <v>Seleksi Penerimaan Mahasiswa Baru - TP</v>
          </cell>
        </row>
        <row r="51">
          <cell r="C51" t="str">
            <v>B.UBTH.V.01</v>
          </cell>
          <cell r="D51" t="str">
            <v>06.1.02.04.01</v>
          </cell>
          <cell r="E51" t="str">
            <v>Kegiatan Kehumas - TP</v>
          </cell>
        </row>
        <row r="52">
          <cell r="C52" t="str">
            <v>B.UBTH.V.02</v>
          </cell>
          <cell r="D52" t="str">
            <v>06.1.02.04.01</v>
          </cell>
          <cell r="E52" t="str">
            <v>Kegiatan Kehumas - TP</v>
          </cell>
        </row>
        <row r="53">
          <cell r="C53" t="str">
            <v>B.UBTH.V.03</v>
          </cell>
          <cell r="D53" t="str">
            <v>06.1.02.04.01</v>
          </cell>
          <cell r="E53" t="str">
            <v>Kegiatan Kehumas - TP</v>
          </cell>
        </row>
        <row r="54">
          <cell r="C54" t="str">
            <v>B.UBTH.V.04</v>
          </cell>
          <cell r="D54" t="str">
            <v>06.1.02.04.02</v>
          </cell>
          <cell r="E54" t="str">
            <v>Kerjasama Dalam dan Luar Negeri - TP</v>
          </cell>
        </row>
        <row r="55">
          <cell r="C55" t="str">
            <v>B.UBTH.V.05</v>
          </cell>
          <cell r="D55" t="str">
            <v>06.1.02.04.01</v>
          </cell>
          <cell r="E55" t="str">
            <v>Kegiatan Kehumas - TP</v>
          </cell>
        </row>
        <row r="57">
          <cell r="C57" t="str">
            <v>B.UBTH.VI.01</v>
          </cell>
          <cell r="D57" t="str">
            <v>06.1.02.05.07</v>
          </cell>
          <cell r="E57" t="str">
            <v>Penyusunan Dokumen SPMI</v>
          </cell>
        </row>
        <row r="58">
          <cell r="C58" t="str">
            <v>B.UBTH.VI.02</v>
          </cell>
          <cell r="D58" t="str">
            <v>06.1.01.07.01</v>
          </cell>
          <cell r="E58" t="str">
            <v>Biaya pelatihan, workshop, minat dan bakat karyawan - TP</v>
          </cell>
        </row>
        <row r="59">
          <cell r="C59" t="str">
            <v>B.UBTH.VI.03</v>
          </cell>
          <cell r="D59" t="str">
            <v>06.1.02.05.08</v>
          </cell>
          <cell r="E59" t="str">
            <v>Survey kepuasan</v>
          </cell>
        </row>
        <row r="60">
          <cell r="C60" t="str">
            <v>B.UBTH.VI.04</v>
          </cell>
          <cell r="D60" t="str">
            <v>06.1.02.05.09</v>
          </cell>
          <cell r="E60" t="str">
            <v>Evaluasi Risk Akademik</v>
          </cell>
        </row>
        <row r="61">
          <cell r="C61" t="str">
            <v>B.UBTH.VI.05</v>
          </cell>
          <cell r="D61" t="str">
            <v>06.1.02.05.10</v>
          </cell>
          <cell r="E61" t="str">
            <v>AMI dan RTM</v>
          </cell>
        </row>
        <row r="62">
          <cell r="C62" t="str">
            <v>B.UBTH.VI.06</v>
          </cell>
          <cell r="D62" t="str">
            <v>06.1.02.05.11</v>
          </cell>
          <cell r="E62" t="str">
            <v>Reakreditasi Universitas dan Prodi</v>
          </cell>
        </row>
        <row r="63">
          <cell r="C63" t="str">
            <v>B.UBTH.VI.07</v>
          </cell>
          <cell r="D63" t="str">
            <v>06.1.01.07.01</v>
          </cell>
          <cell r="E63" t="str">
            <v>Biaya pelatihan, workshop, minat dan bakat karyawan - TP</v>
          </cell>
        </row>
        <row r="64">
          <cell r="C64" t="str">
            <v>B.UBTH.VI.08</v>
          </cell>
          <cell r="D64" t="str">
            <v>06.1.02.05.12</v>
          </cell>
          <cell r="E64" t="str">
            <v>Sosialisasi pencegahan korupsi</v>
          </cell>
        </row>
        <row r="65">
          <cell r="C65" t="str">
            <v>B.UBTH.VI.09</v>
          </cell>
          <cell r="D65" t="str">
            <v>06.1.02.05.13</v>
          </cell>
          <cell r="E65" t="str">
            <v>Evaluasi perencanaan anggaran dan realisasi anggaran</v>
          </cell>
        </row>
        <row r="66">
          <cell r="C66" t="str">
            <v>B.UBTH.VI.10</v>
          </cell>
          <cell r="D66" t="str">
            <v>06.1.02.05.14</v>
          </cell>
          <cell r="E66" t="str">
            <v>Evaluasi pengelolaan keuangan (Evaluasi Kebijakan dan Realisasis Pembayaran Honor)</v>
          </cell>
        </row>
        <row r="67">
          <cell r="C67" t="str">
            <v>B.UBTH.VI.11</v>
          </cell>
          <cell r="D67" t="str">
            <v>06.1.01.07.01</v>
          </cell>
          <cell r="E67" t="str">
            <v>Biaya pelatihan, workshop, minat dan bakat karyawan - TP</v>
          </cell>
        </row>
        <row r="68">
          <cell r="C68" t="str">
            <v>B.UBTH.VI.12</v>
          </cell>
          <cell r="D68" t="str">
            <v>06.1.02.05.15</v>
          </cell>
          <cell r="E68" t="str">
            <v>Evaluasi kinerja prodi di Fakultas Ilmu Kesehatan, Farmasi, Teknologi dan Bisnis</v>
          </cell>
        </row>
        <row r="69">
          <cell r="C69" t="str">
            <v>B.UBTH.VI.13</v>
          </cell>
          <cell r="D69" t="str">
            <v>06.1.02.05.01</v>
          </cell>
          <cell r="E69" t="str">
            <v>Audit Internal  - TP</v>
          </cell>
        </row>
        <row r="70">
          <cell r="C70" t="str">
            <v>B.UBTH.VI.14</v>
          </cell>
          <cell r="D70" t="str">
            <v>06.1.02.05.16</v>
          </cell>
          <cell r="E70" t="str">
            <v>Evaluasi perencanaan anggaran dan realisasi anggaran Promosi Penerimaan Mahasiswa Baru</v>
          </cell>
        </row>
        <row r="71">
          <cell r="C71" t="str">
            <v>B.UBTH.VI.15</v>
          </cell>
          <cell r="D71" t="str">
            <v>06.1.02.05.17</v>
          </cell>
          <cell r="E71" t="str">
            <v>Pengawasan lainnya atas permintaan pimpinan</v>
          </cell>
        </row>
        <row r="73">
          <cell r="C73" t="str">
            <v>B.UBTH.VII.01</v>
          </cell>
          <cell r="D73" t="str">
            <v>06.1.01.03.06</v>
          </cell>
          <cell r="E73" t="str">
            <v>Biaya  Barang Inventaris Kantor - TP</v>
          </cell>
        </row>
        <row r="74">
          <cell r="C74" t="str">
            <v>B.UBTH.VII.02</v>
          </cell>
          <cell r="D74" t="str">
            <v>06.1.01.03.01</v>
          </cell>
          <cell r="E74" t="str">
            <v>Biaya Pembelian  Alat Listrik dan Elektronik - TP</v>
          </cell>
        </row>
        <row r="75">
          <cell r="C75" t="str">
            <v>B.UBTH.VII.03</v>
          </cell>
          <cell r="D75" t="str">
            <v>06.1.01.03.02</v>
          </cell>
          <cell r="E75" t="str">
            <v>Biaya Alat Tulis Kantor - TP</v>
          </cell>
        </row>
        <row r="76">
          <cell r="C76" t="str">
            <v>B.UBTH.VII.04</v>
          </cell>
          <cell r="D76" t="str">
            <v>06.1.01.03.11</v>
          </cell>
          <cell r="E76" t="str">
            <v>Belanja Fotocopy, Jilid, Laminating dan Materai - TP</v>
          </cell>
        </row>
        <row r="77">
          <cell r="C77" t="str">
            <v>B.UBTH.VII.05</v>
          </cell>
          <cell r="D77" t="str">
            <v>06.1.01.03.17</v>
          </cell>
          <cell r="E77" t="str">
            <v>Pengadaan Alat dan Bahan Praktikum Laboratorium - TP</v>
          </cell>
        </row>
        <row r="78">
          <cell r="C78" t="str">
            <v>B.UBTH.VII.06</v>
          </cell>
          <cell r="D78" t="str">
            <v>06.1.01.03.18</v>
          </cell>
          <cell r="E78" t="str">
            <v>Belanja barang perpustakaan - TP</v>
          </cell>
        </row>
        <row r="79">
          <cell r="C79" t="str">
            <v>B.UBTH.VII.07</v>
          </cell>
          <cell r="D79" t="str">
            <v>06.1.01.03.19</v>
          </cell>
          <cell r="E79" t="str">
            <v>Jas Almamater, Batik Mahasiswa &amp; Jas Profesi - TP</v>
          </cell>
        </row>
        <row r="80">
          <cell r="C80" t="str">
            <v>B.UBTH.VII.08</v>
          </cell>
          <cell r="D80" t="str">
            <v>06.1.01.03.20</v>
          </cell>
          <cell r="E80" t="str">
            <v>Seragam Mahasiswa Baru  - TP</v>
          </cell>
        </row>
        <row r="81">
          <cell r="C81" t="str">
            <v>B.UBTH.VII.09</v>
          </cell>
          <cell r="D81" t="str">
            <v>06.1.01.03.20</v>
          </cell>
          <cell r="E81" t="str">
            <v>Seragam Mahasiswa Baru  - TP</v>
          </cell>
        </row>
        <row r="82">
          <cell r="C82" t="str">
            <v>B.UBTH.VII.10</v>
          </cell>
          <cell r="D82" t="str">
            <v>06.1.01.03.20</v>
          </cell>
          <cell r="E82" t="str">
            <v>Seragam Mahasiswa Baru  - TP</v>
          </cell>
        </row>
        <row r="84">
          <cell r="C84" t="str">
            <v>B.UBTH.VIII.01</v>
          </cell>
          <cell r="D84" t="str">
            <v>06.1.01.04.01</v>
          </cell>
          <cell r="E84" t="str">
            <v>Pemeliharaan Gedung, Halaman, dan Graha Husada - TP</v>
          </cell>
        </row>
        <row r="85">
          <cell r="C85" t="str">
            <v>B.UBTH.VIII.02</v>
          </cell>
          <cell r="D85" t="str">
            <v>06.1.01.04.02</v>
          </cell>
          <cell r="E85" t="str">
            <v>Pemeliharaan Perlengkapan Kantor, Laboratorium, Perpustakaan - TP</v>
          </cell>
        </row>
        <row r="86">
          <cell r="C86" t="str">
            <v>B.UBTH.VIII.03</v>
          </cell>
          <cell r="D86" t="str">
            <v>06.1.01.04.04</v>
          </cell>
          <cell r="E86" t="str">
            <v>Pemeliharaan Kendaraan - TP</v>
          </cell>
        </row>
        <row r="87">
          <cell r="C87" t="str">
            <v>B.UBTH.VIII.04</v>
          </cell>
          <cell r="D87" t="str">
            <v>06.1.01.04.05</v>
          </cell>
          <cell r="E87" t="str">
            <v>Pemeliharaan AC - TP</v>
          </cell>
        </row>
        <row r="88">
          <cell r="C88" t="str">
            <v>B.UBTH.VIII.05</v>
          </cell>
          <cell r="D88" t="str">
            <v>06.1.01.04.02</v>
          </cell>
          <cell r="E88" t="str">
            <v>Pemeliharaan Perlengkapan Kantor, Laboratorium, Perpustakaan - TP</v>
          </cell>
        </row>
        <row r="89">
          <cell r="C89" t="str">
            <v>B.UBTH.VIII.06</v>
          </cell>
          <cell r="D89" t="str">
            <v>06.1.01.04.02</v>
          </cell>
          <cell r="E89" t="str">
            <v>Pemeliharaan Perlengkapan Kantor, Laboratorium, Perpustakaan - TP</v>
          </cell>
        </row>
        <row r="90">
          <cell r="C90" t="str">
            <v>B.UBTH.VIII.07</v>
          </cell>
          <cell r="D90" t="str">
            <v>06.1.01.04.02</v>
          </cell>
          <cell r="E90" t="str">
            <v>Pemeliharaan Perlengkapan Kantor, Laboratorium, Perpustakaan - TP</v>
          </cell>
        </row>
        <row r="92">
          <cell r="C92" t="str">
            <v>B.UBTH.IX.01</v>
          </cell>
          <cell r="D92" t="str">
            <v>06.1.01.03.14</v>
          </cell>
          <cell r="E92" t="str">
            <v>Perlengkapan kebersihan dan rumah tangga - TP</v>
          </cell>
        </row>
        <row r="93">
          <cell r="C93" t="str">
            <v>B.UBTH.IX.02</v>
          </cell>
          <cell r="D93" t="str">
            <v>06.1.01.03.08</v>
          </cell>
          <cell r="E93" t="str">
            <v>Biaya Konsumsi Karyawan - TP</v>
          </cell>
        </row>
        <row r="94">
          <cell r="C94" t="str">
            <v>B.UBTH.IX.03</v>
          </cell>
          <cell r="D94" t="str">
            <v>06.1.01.06.01</v>
          </cell>
          <cell r="E94" t="str">
            <v>Biaya Listrik - TP</v>
          </cell>
        </row>
        <row r="95">
          <cell r="C95" t="str">
            <v>B.UBTH.IX.04</v>
          </cell>
          <cell r="D95" t="str">
            <v>06.1.01.06.02</v>
          </cell>
          <cell r="E95" t="str">
            <v>Biaya telepon/fax/internet - TP</v>
          </cell>
        </row>
        <row r="96">
          <cell r="C96" t="str">
            <v>B.UBTH.IX.05</v>
          </cell>
          <cell r="D96" t="str">
            <v>06.1.01.06.03</v>
          </cell>
          <cell r="E96" t="str">
            <v>Biaya PDAM - TP</v>
          </cell>
        </row>
        <row r="97">
          <cell r="C97" t="str">
            <v>B.UBTH.IX.06</v>
          </cell>
          <cell r="D97" t="str">
            <v>06.1.01.06.05</v>
          </cell>
          <cell r="E97" t="str">
            <v>Pembelian Bahan Bakar Minyak (BBM) - TP</v>
          </cell>
        </row>
        <row r="99">
          <cell r="C99" t="str">
            <v>B.UBTH.X.01</v>
          </cell>
          <cell r="D99" t="str">
            <v>06.1.01.05.01</v>
          </cell>
          <cell r="E99" t="str">
            <v>Perjalanan dinas - TP</v>
          </cell>
        </row>
        <row r="100">
          <cell r="C100" t="str">
            <v>B.UBTH.X.02</v>
          </cell>
          <cell r="D100" t="str">
            <v>06.1.01.05.02</v>
          </cell>
          <cell r="E100" t="str">
            <v>Transport lokal dan parkir - TP</v>
          </cell>
        </row>
        <row r="102">
          <cell r="C102" t="str">
            <v>B.UBTH.XI.01</v>
          </cell>
          <cell r="D102" t="str">
            <v>06.1.01.03.13</v>
          </cell>
          <cell r="E102" t="str">
            <v>Biaya Representasi - TP</v>
          </cell>
        </row>
        <row r="103">
          <cell r="C103" t="str">
            <v>B.UBTH.XI.02</v>
          </cell>
          <cell r="D103" t="str">
            <v>06.1.01.02.17</v>
          </cell>
          <cell r="E103" t="str">
            <v>Administrasi Bank, umum dan surat menyurat - TP</v>
          </cell>
        </row>
        <row r="104">
          <cell r="C104" t="str">
            <v>B.UBTH.XI.03</v>
          </cell>
          <cell r="D104" t="str">
            <v>06.1.01.02.19</v>
          </cell>
          <cell r="E104" t="str">
            <v>Pusat Karir - TP</v>
          </cell>
        </row>
        <row r="105">
          <cell r="C105" t="str">
            <v>B.UBTH.XI.04</v>
          </cell>
          <cell r="D105" t="str">
            <v>06.1.01.02.19</v>
          </cell>
          <cell r="E105" t="str">
            <v>Pusat Karir - TP</v>
          </cell>
        </row>
        <row r="106">
          <cell r="C106" t="str">
            <v>B.UBTH.XI.05</v>
          </cell>
          <cell r="D106" t="str">
            <v>06.1.01.02.19</v>
          </cell>
          <cell r="E106" t="str">
            <v>Pusat Karir - TP</v>
          </cell>
        </row>
        <row r="107">
          <cell r="C107" t="str">
            <v>B.UBTH.XI.06</v>
          </cell>
          <cell r="D107" t="str">
            <v>06.1.01.02.19</v>
          </cell>
          <cell r="E107" t="str">
            <v>Pusat Karir - TP</v>
          </cell>
        </row>
        <row r="109">
          <cell r="C109" t="str">
            <v>B.UBTH.XII.01</v>
          </cell>
          <cell r="D109" t="str">
            <v>06.1.01.07.01</v>
          </cell>
          <cell r="E109" t="str">
            <v>Biaya pelatihan, workshop, minat dan bakat karyawan - TP</v>
          </cell>
        </row>
        <row r="110">
          <cell r="C110" t="str">
            <v>B.UBTH.XII.02</v>
          </cell>
          <cell r="D110" t="str">
            <v>06.1.02.06.01</v>
          </cell>
          <cell r="E110" t="str">
            <v>Biaya administrasi NIDN dan Jafung - TP</v>
          </cell>
        </row>
        <row r="112">
          <cell r="C112" t="str">
            <v>B.UBTH.XIII.01</v>
          </cell>
          <cell r="D112" t="str">
            <v>06.1.02.07.01</v>
          </cell>
          <cell r="E112" t="str">
            <v>Honor Dosen Program Studi Farmasi  - TP</v>
          </cell>
        </row>
        <row r="113">
          <cell r="C113" t="str">
            <v>B.UBTH.XIII.02</v>
          </cell>
          <cell r="D113" t="str">
            <v>06.1.02.07.02</v>
          </cell>
          <cell r="E113" t="str">
            <v>Honor Asisten Dosen Program Studi Farmasi - TP</v>
          </cell>
        </row>
        <row r="114">
          <cell r="C114" t="str">
            <v>B.UBTH.XIII.03</v>
          </cell>
          <cell r="D114" t="str">
            <v>06.1.02.07.03</v>
          </cell>
          <cell r="E114" t="str">
            <v>Transfor Dosen dan Asisten Luar Program Studi Farmasi - TP</v>
          </cell>
        </row>
        <row r="115">
          <cell r="C115" t="str">
            <v>B.UBTH.XIII.04</v>
          </cell>
          <cell r="D115" t="str">
            <v>06.1.02.07.04</v>
          </cell>
          <cell r="E115" t="str">
            <v>Honor Dosen Pakar/Ahli  Program Studi Farmasi - TP</v>
          </cell>
        </row>
        <row r="116">
          <cell r="C116" t="str">
            <v>B.UBTH.XIII.05</v>
          </cell>
          <cell r="D116" t="str">
            <v>06.1.02.07.05</v>
          </cell>
          <cell r="E116" t="str">
            <v>Honor Dosen Wali Program Studi Farmasi - TP</v>
          </cell>
        </row>
        <row r="117">
          <cell r="C117" t="str">
            <v>B.UBTH.XIII.06</v>
          </cell>
          <cell r="D117" t="str">
            <v>06.1.02.07.06</v>
          </cell>
          <cell r="E117" t="str">
            <v>Honor UTS dan UAS Teori, Praktikum dan Klinik Program Studi Farmasi - TP</v>
          </cell>
        </row>
        <row r="118">
          <cell r="C118" t="str">
            <v>B.UBTH.XIII.07</v>
          </cell>
          <cell r="D118" t="str">
            <v>06.1.02.07.08</v>
          </cell>
          <cell r="E118" t="str">
            <v>Tugas Akhir I Program Studi Farmasi  - TP</v>
          </cell>
        </row>
        <row r="119">
          <cell r="C119" t="str">
            <v>B.UBTH.XIII.08</v>
          </cell>
          <cell r="D119" t="str">
            <v>06.1.02.07.08</v>
          </cell>
          <cell r="E119" t="str">
            <v>Tugas Akhir I Program Studi Farmasi  - TP</v>
          </cell>
        </row>
        <row r="120">
          <cell r="C120" t="str">
            <v>B.UBTH.XIII.09</v>
          </cell>
          <cell r="D120" t="str">
            <v>06.1.02.07.09</v>
          </cell>
          <cell r="E120" t="str">
            <v>Tugas Akhir II Program Studi Farmasi - TP</v>
          </cell>
        </row>
        <row r="121">
          <cell r="C121" t="str">
            <v>B.UBTH.XIII.10</v>
          </cell>
          <cell r="D121" t="str">
            <v>06.1.02.07.09</v>
          </cell>
          <cell r="E121" t="str">
            <v>Tugas Akhir II Program Studi Farmasi - TP</v>
          </cell>
        </row>
        <row r="122">
          <cell r="C122" t="str">
            <v>B.UBTH.XIII.11</v>
          </cell>
          <cell r="D122" t="str">
            <v>06.1.02.04.01</v>
          </cell>
          <cell r="E122" t="str">
            <v>Kegiatan Kehumas - TP</v>
          </cell>
        </row>
        <row r="123">
          <cell r="C123" t="str">
            <v>B.UBTH.XIII.12</v>
          </cell>
          <cell r="D123" t="str">
            <v>06.1.02.07.10</v>
          </cell>
          <cell r="E123" t="str">
            <v>Honor dosen PRODI PSPPA Fakultas Farmasi - TP</v>
          </cell>
        </row>
        <row r="124">
          <cell r="C124" t="str">
            <v>B.UBTH.XIII.13</v>
          </cell>
          <cell r="D124" t="str">
            <v>06.1.02.07.11</v>
          </cell>
          <cell r="E124" t="str">
            <v>Honor asisten dosen Prodi PSPPA Fakultas Farmasi - TP</v>
          </cell>
        </row>
        <row r="125">
          <cell r="C125" t="str">
            <v>B.UBTH.XIII.14</v>
          </cell>
          <cell r="D125" t="str">
            <v>06.1.02.07.12</v>
          </cell>
          <cell r="E125" t="str">
            <v>Transfor Dosen dan Asisten Luar Prodi PSPPA Fakultas Farmasi - TP</v>
          </cell>
        </row>
        <row r="126">
          <cell r="C126" t="str">
            <v>B.UBTH.XIII.15</v>
          </cell>
          <cell r="D126" t="str">
            <v>06.1.02.07.13</v>
          </cell>
          <cell r="E126" t="str">
            <v>Honor Dosen Pakar/Ahli  Prodi PSPPA Fakultas Farmasi - TP</v>
          </cell>
        </row>
        <row r="127">
          <cell r="C127" t="str">
            <v>B.UBTH.XIII.16</v>
          </cell>
          <cell r="D127" t="str">
            <v>06.1.02.07.14</v>
          </cell>
          <cell r="E127" t="str">
            <v>Honor Dosen Wali Prodi PSPPA Fakultas Farmasi - TP</v>
          </cell>
        </row>
        <row r="128">
          <cell r="C128" t="str">
            <v>B.UBTH.XIII.17</v>
          </cell>
          <cell r="D128" t="str">
            <v>06.1.02.07.15</v>
          </cell>
          <cell r="E128" t="str">
            <v>Honor UTS dan UAS Teori, Praktikum dan Klinik Prodi PSPPA Fakultas Farmasi - TP</v>
          </cell>
        </row>
        <row r="129">
          <cell r="C129" t="str">
            <v>B.UBTH.XIII.18</v>
          </cell>
          <cell r="D129" t="str">
            <v>06.1.02.07.16</v>
          </cell>
          <cell r="E129" t="str">
            <v>Matrikulasi dan Pengkayaan CBT dan OSCE  - TP</v>
          </cell>
        </row>
        <row r="130">
          <cell r="C130" t="str">
            <v>B.UBTH.XIII.19</v>
          </cell>
          <cell r="D130" t="str">
            <v>06.1.02.07.16</v>
          </cell>
          <cell r="E130" t="str">
            <v>Matrikulasi dan Pengkayaan CBT dan OSCE  - TP</v>
          </cell>
        </row>
        <row r="131">
          <cell r="C131" t="str">
            <v>B.UBTH.XIII.20</v>
          </cell>
          <cell r="D131" t="str">
            <v>06.1.02.07.17</v>
          </cell>
          <cell r="E131" t="str">
            <v>Sidang Komprehensif  PSPPA - TP</v>
          </cell>
        </row>
        <row r="132">
          <cell r="C132" t="str">
            <v>B.UBTH.XIII.21</v>
          </cell>
          <cell r="D132" t="str">
            <v>06.1.02.07.17</v>
          </cell>
          <cell r="E132" t="str">
            <v>Sidang Komprehensif  PSPPA - TP</v>
          </cell>
        </row>
        <row r="133">
          <cell r="C133" t="str">
            <v>B.UBTH.XIII.22</v>
          </cell>
          <cell r="D133" t="str">
            <v>06.1.02.07.19</v>
          </cell>
          <cell r="E133" t="str">
            <v>Praktek Klinik Profesi Apoteker PSPPA - TP</v>
          </cell>
        </row>
        <row r="134">
          <cell r="C134" t="str">
            <v>B.UBTH.XIII.23</v>
          </cell>
          <cell r="D134" t="str">
            <v>06.1.02.07.19</v>
          </cell>
          <cell r="E134" t="str">
            <v>Praktek Klinik Profesi Apoteker PSPPA - TP</v>
          </cell>
        </row>
        <row r="135">
          <cell r="C135" t="str">
            <v>B.UBTH.XIII.24</v>
          </cell>
          <cell r="D135" t="str">
            <v>06.2.02.07.23</v>
          </cell>
          <cell r="E135" t="str">
            <v>OSCE Formatif PSPPA - DP</v>
          </cell>
        </row>
        <row r="136">
          <cell r="C136" t="str">
            <v>B.UBTH.XIII.25</v>
          </cell>
          <cell r="D136" t="str">
            <v>06.2.02.07.23</v>
          </cell>
          <cell r="E136" t="str">
            <v>OSCE Formatif PSPPA - DP</v>
          </cell>
        </row>
        <row r="137">
          <cell r="C137" t="str">
            <v>B.UBTH.XIII.26</v>
          </cell>
          <cell r="D137" t="str">
            <v>06.1.02.07.25</v>
          </cell>
          <cell r="E137" t="str">
            <v>Rapat Anggota Tahunan  Asosiasi Perguruan Tinggi Farmasi - TP</v>
          </cell>
        </row>
        <row r="138">
          <cell r="C138" t="str">
            <v>B.UBTH.XIII.27</v>
          </cell>
          <cell r="D138" t="str">
            <v>06.1.02.07.28</v>
          </cell>
          <cell r="E138" t="str">
            <v>Implementasi MBKM (Tim Rekognosi) - TP</v>
          </cell>
        </row>
        <row r="139">
          <cell r="C139" t="str">
            <v>B.UBTH.XIII.28</v>
          </cell>
          <cell r="D139" t="str">
            <v>06.1.02.07.30</v>
          </cell>
          <cell r="E139" t="str">
            <v>Workhsop Kurikulum OBE</v>
          </cell>
        </row>
        <row r="140">
          <cell r="C140" t="str">
            <v>B.UBTH.XIII.29</v>
          </cell>
          <cell r="D140" t="str">
            <v>06.1.02.07.31</v>
          </cell>
          <cell r="E140" t="str">
            <v>Evaluasi Kurikulum</v>
          </cell>
        </row>
        <row r="141">
          <cell r="C141" t="str">
            <v>B.UBTH.XIII.30</v>
          </cell>
          <cell r="D141" t="str">
            <v>06.1.02.07.32</v>
          </cell>
          <cell r="E141" t="str">
            <v>Student Exchange AASP</v>
          </cell>
        </row>
        <row r="142">
          <cell r="C142" t="str">
            <v>B.UBTH.XIII.31</v>
          </cell>
          <cell r="D142" t="str">
            <v>06.1.02.07.33</v>
          </cell>
          <cell r="E142" t="str">
            <v>FGD Inkubasi Bisnis</v>
          </cell>
        </row>
        <row r="143">
          <cell r="C143" t="str">
            <v>B.UBTH.XIII.32</v>
          </cell>
          <cell r="D143" t="str">
            <v>06.1.02.02.00</v>
          </cell>
          <cell r="E143" t="str">
            <v>Penelitian dan Pengabdian Masyarakat - TP</v>
          </cell>
        </row>
        <row r="144">
          <cell r="C144" t="str">
            <v>B.UBTH.XIII.33</v>
          </cell>
          <cell r="D144" t="str">
            <v>06.1.02.05.05</v>
          </cell>
          <cell r="E144" t="str">
            <v>Workshop Peningkatan Pemahaman Standar Mutu UBTH - TP</v>
          </cell>
        </row>
        <row r="145">
          <cell r="C145" t="str">
            <v>B.UBTH.XIII.34</v>
          </cell>
          <cell r="D145" t="str">
            <v>06.1.02.07.34</v>
          </cell>
          <cell r="E145" t="str">
            <v>Survailance Prodi S1 Farmasi</v>
          </cell>
        </row>
        <row r="146">
          <cell r="C146" t="str">
            <v>B.UBTH.XIII.35</v>
          </cell>
          <cell r="D146" t="str">
            <v>06.1.02.07.33</v>
          </cell>
          <cell r="E146" t="str">
            <v>FGD Inkubasi Bisnis</v>
          </cell>
        </row>
        <row r="147">
          <cell r="C147" t="str">
            <v>B.UBTH.XIII.36</v>
          </cell>
          <cell r="D147" t="str">
            <v>06.1.02.07.07</v>
          </cell>
          <cell r="E147" t="str">
            <v>Kuliah Kerja Nyata Program Studi Farmasi - TP</v>
          </cell>
        </row>
        <row r="149">
          <cell r="C149" t="str">
            <v>B.UBTH.XIV.01</v>
          </cell>
          <cell r="D149" t="str">
            <v>06.1.02.08.01</v>
          </cell>
          <cell r="E149" t="str">
            <v>Honor dosen Program Studi Optometri - TP</v>
          </cell>
        </row>
        <row r="150">
          <cell r="C150" t="str">
            <v>B.UBTH.XIV.02</v>
          </cell>
          <cell r="D150" t="str">
            <v>06.1.02.08.02</v>
          </cell>
          <cell r="E150" t="str">
            <v>Honor asisten Program Studi Optometri - TP</v>
          </cell>
        </row>
        <row r="151">
          <cell r="C151" t="str">
            <v>B.UBTH.XIV.03</v>
          </cell>
          <cell r="D151" t="str">
            <v>06.1.02.08.03</v>
          </cell>
          <cell r="E151" t="str">
            <v>Transfor Dosen dan Asisten Luar Program Studi Optometri - TP</v>
          </cell>
        </row>
        <row r="152">
          <cell r="C152" t="str">
            <v>B.UBTH.XIV.04</v>
          </cell>
          <cell r="D152" t="str">
            <v>06.1.02.08.04</v>
          </cell>
          <cell r="E152" t="str">
            <v>Honor Dosen Pakar/Ahli  Program Studi Optometri - TP</v>
          </cell>
        </row>
        <row r="153">
          <cell r="C153" t="str">
            <v>B.UBTH.XIV.05</v>
          </cell>
          <cell r="D153" t="str">
            <v>06.1.02.08.05</v>
          </cell>
          <cell r="E153" t="str">
            <v>Honor Dosen Wali Program Studi Optometri - TP</v>
          </cell>
        </row>
        <row r="154">
          <cell r="C154" t="str">
            <v>B.UBTH.XIV.06</v>
          </cell>
          <cell r="D154" t="str">
            <v>06.1.02.08.06</v>
          </cell>
          <cell r="E154" t="str">
            <v>Honor UTS dan UAS Teori, Praktikum dan Klinik Program Studi Optometri - TP</v>
          </cell>
        </row>
        <row r="155">
          <cell r="C155" t="str">
            <v>B.UBTH.XIV.07</v>
          </cell>
          <cell r="D155" t="str">
            <v>06.1.02.08.07</v>
          </cell>
          <cell r="E155" t="str">
            <v>KTI Program Studi Optometri - TP</v>
          </cell>
        </row>
        <row r="156">
          <cell r="C156" t="str">
            <v>B.UBTH.XIV.08</v>
          </cell>
          <cell r="D156" t="str">
            <v>06.1.02.08.08</v>
          </cell>
          <cell r="E156" t="str">
            <v>PBL Komunitas Program Studi Optometri - TP</v>
          </cell>
        </row>
        <row r="157">
          <cell r="C157" t="str">
            <v>B.UBTH.XIV.09</v>
          </cell>
          <cell r="D157" t="str">
            <v>06.1.02.08.09</v>
          </cell>
          <cell r="E157" t="str">
            <v>Praktek Kinik Lapangan Lanjut Program Studi Optometri - TP</v>
          </cell>
        </row>
        <row r="158">
          <cell r="C158" t="str">
            <v>B.UBTH.XIV.10</v>
          </cell>
          <cell r="D158" t="str">
            <v>06.1.02.08.10</v>
          </cell>
          <cell r="E158" t="str">
            <v>Uji Kompetensi Nasional Program Studi Optometri - TP</v>
          </cell>
        </row>
        <row r="159">
          <cell r="C159" t="str">
            <v>B.UBTH.XIV.11</v>
          </cell>
          <cell r="D159" t="str">
            <v>06.1.02.08.12</v>
          </cell>
          <cell r="E159" t="str">
            <v>Honor dosen Program Studi Keperawatan - TP</v>
          </cell>
        </row>
        <row r="160">
          <cell r="C160" t="str">
            <v>B.UBTH.XIV.12</v>
          </cell>
          <cell r="D160" t="str">
            <v>06.1.02.08.13</v>
          </cell>
          <cell r="E160" t="str">
            <v>Honor asisten dan CI Program Studi Keperawatan - TP</v>
          </cell>
        </row>
        <row r="161">
          <cell r="C161" t="str">
            <v>B.UBTH.XIV.13</v>
          </cell>
          <cell r="D161" t="str">
            <v>06.1.02.08.14</v>
          </cell>
          <cell r="E161" t="str">
            <v>Transfor Dosen dan Asisten Luar Program Studi Keperawatan - TP</v>
          </cell>
        </row>
        <row r="162">
          <cell r="C162" t="str">
            <v>B.UBTH.XIV.14</v>
          </cell>
          <cell r="D162" t="str">
            <v>06.1.02.08.15</v>
          </cell>
          <cell r="E162" t="str">
            <v>Honor Dosen Pakar/Ahli  Program Studi Keperawatan - TP</v>
          </cell>
        </row>
        <row r="163">
          <cell r="C163" t="str">
            <v>B.UBTH.XIV.15</v>
          </cell>
          <cell r="D163" t="str">
            <v>06.1.02.08.16</v>
          </cell>
          <cell r="E163" t="str">
            <v>Honor Dosen Wali Program Studi Keperawatan - TP</v>
          </cell>
        </row>
        <row r="164">
          <cell r="C164" t="str">
            <v>B.UBTH.XIV.16</v>
          </cell>
          <cell r="D164" t="str">
            <v>06.1.02.08.17</v>
          </cell>
          <cell r="E164" t="str">
            <v>Honor UTS dan UAS Teori, Praktikum dan Klinik Program Studi Keperawatan - TP</v>
          </cell>
        </row>
        <row r="165">
          <cell r="C165" t="str">
            <v>B.UBTH.XIV.17</v>
          </cell>
          <cell r="D165" t="str">
            <v>06.1.02.08.19</v>
          </cell>
          <cell r="E165" t="str">
            <v>Bantuan Hidup Dasar Prodi Keperawatan - TP</v>
          </cell>
        </row>
        <row r="166">
          <cell r="C166" t="str">
            <v>B.UBTH.XIV.18</v>
          </cell>
          <cell r="D166" t="str">
            <v>06.1.02.08.26</v>
          </cell>
          <cell r="E166" t="str">
            <v>Praktek Klinik di RSMM Prodi Keperawatan - TP</v>
          </cell>
        </row>
        <row r="167">
          <cell r="C167" t="str">
            <v>B.UBTH.XIV.19</v>
          </cell>
          <cell r="D167" t="str">
            <v>06.1.02.08.26</v>
          </cell>
          <cell r="E167" t="str">
            <v>Praktek Klinik di RSMM Prodi Keperawatan - TP</v>
          </cell>
        </row>
        <row r="168">
          <cell r="C168" t="str">
            <v>B.UBTH.XIV.20</v>
          </cell>
          <cell r="D168" t="str">
            <v>06.1.02.08.26</v>
          </cell>
          <cell r="E168" t="str">
            <v>Praktek Klinik di RSMM Prodi Keperawatan - TP</v>
          </cell>
        </row>
        <row r="169">
          <cell r="C169" t="str">
            <v>B.UBTH.XIV.21</v>
          </cell>
          <cell r="D169" t="str">
            <v>06.1.02.08.26</v>
          </cell>
          <cell r="E169" t="str">
            <v>Praktek Klinik di RSMM Prodi Keperawatan - TP</v>
          </cell>
        </row>
        <row r="170">
          <cell r="C170" t="str">
            <v>B.UBTH.XIV.22</v>
          </cell>
          <cell r="D170" t="str">
            <v>06.1.02.08.26</v>
          </cell>
          <cell r="E170" t="str">
            <v>Praktek Klinik di RSMM Prodi Keperawatan - TP</v>
          </cell>
        </row>
        <row r="171">
          <cell r="C171" t="str">
            <v>B.UBTH.XIV.23</v>
          </cell>
          <cell r="D171" t="str">
            <v>06.1.02.08.24</v>
          </cell>
          <cell r="E171" t="str">
            <v>KTI Prodi Keperawatan - TP</v>
          </cell>
        </row>
        <row r="172">
          <cell r="C172" t="str">
            <v>B.UBTH.XIV.24</v>
          </cell>
          <cell r="D172" t="str">
            <v>06.1.02.08.51</v>
          </cell>
          <cell r="E172" t="str">
            <v>Try Out dan Pelaksanaan Uji Kompetensi Nasasional Prodi D3 Keperawatan</v>
          </cell>
        </row>
        <row r="173">
          <cell r="C173" t="str">
            <v>B.UBTH.XIV.25</v>
          </cell>
          <cell r="D173" t="str">
            <v>06.1.02.08.52</v>
          </cell>
          <cell r="E173" t="str">
            <v>Workhsop  Pemutakhiran SOP Lab Skill</v>
          </cell>
        </row>
        <row r="174">
          <cell r="C174" t="str">
            <v>B.UBTH.XIV.26</v>
          </cell>
          <cell r="D174" t="str">
            <v>06.1.01.02.11</v>
          </cell>
          <cell r="E174" t="str">
            <v>Iuran Keanggotaan - TP</v>
          </cell>
        </row>
        <row r="175">
          <cell r="C175" t="str">
            <v>B.UBTH.XIV.27</v>
          </cell>
          <cell r="D175" t="str">
            <v>06.1.02.08.53</v>
          </cell>
          <cell r="E175" t="str">
            <v>Pendaftaran Pelatihan BTCLS Tahun 2025</v>
          </cell>
        </row>
        <row r="176">
          <cell r="C176" t="str">
            <v>B.UBTH.XIV.28</v>
          </cell>
          <cell r="D176" t="str">
            <v>06.1.02.08.28</v>
          </cell>
          <cell r="E176" t="str">
            <v>Uji Kompetensi LSP tahap 1 Keperawatan Dasar - TP</v>
          </cell>
        </row>
        <row r="177">
          <cell r="C177" t="str">
            <v>B.UBTH.XIV.29</v>
          </cell>
          <cell r="D177" t="str">
            <v>06.1.02.08.31</v>
          </cell>
          <cell r="E177" t="str">
            <v>Honor dosen Program Studi Analis Kesehatan - TP</v>
          </cell>
        </row>
        <row r="178">
          <cell r="C178" t="str">
            <v>B.UBTH.XIV.30</v>
          </cell>
          <cell r="D178" t="str">
            <v>06.1.02.08.32</v>
          </cell>
          <cell r="E178" t="str">
            <v>Honor asisten Program Studi Analis Kesehatan - TP</v>
          </cell>
        </row>
        <row r="179">
          <cell r="C179" t="str">
            <v>B.UBTH.XIV.31</v>
          </cell>
          <cell r="D179" t="str">
            <v>06.1.02.08.33</v>
          </cell>
          <cell r="E179" t="str">
            <v>Transfor Dosen dan Asisten Luar Program Studi Analis Kesehatan - TP</v>
          </cell>
        </row>
        <row r="180">
          <cell r="C180" t="str">
            <v>B.UBTH.XIV.32</v>
          </cell>
          <cell r="D180" t="str">
            <v>06.1.02.08.34</v>
          </cell>
          <cell r="E180" t="str">
            <v>Honor Dosen Pakar/Ahli  Program Studi Analis Kesehatan - TP</v>
          </cell>
        </row>
        <row r="181">
          <cell r="C181" t="str">
            <v>B.UBTH.XIV.33</v>
          </cell>
          <cell r="D181" t="str">
            <v>06.1.02.08.35</v>
          </cell>
          <cell r="E181" t="str">
            <v>Honor Dosen Wali Program Studi Analis Kesehatan - TP</v>
          </cell>
        </row>
        <row r="182">
          <cell r="C182" t="str">
            <v>B.UBTH.XIV.34</v>
          </cell>
          <cell r="D182" t="str">
            <v>06.1.02.08.36</v>
          </cell>
          <cell r="E182" t="str">
            <v>Honor UTS dan UAS Teori, Praktikum dan Klinik Program Studi Analis Kesehatan - TP</v>
          </cell>
        </row>
        <row r="183">
          <cell r="C183" t="str">
            <v>B.UBTH.XIV.35</v>
          </cell>
          <cell r="D183" t="str">
            <v>06.1.02.08.54</v>
          </cell>
          <cell r="E183" t="str">
            <v>KTI  Program Studi Analis Kesehatan</v>
          </cell>
        </row>
        <row r="184">
          <cell r="C184" t="str">
            <v>B.UBTH.XIV.36</v>
          </cell>
          <cell r="D184" t="str">
            <v>06.1.02.08.38</v>
          </cell>
          <cell r="E184" t="str">
            <v>Praktek Belajar Klinik Program Studi Analis Kesehatan - TP</v>
          </cell>
        </row>
        <row r="185">
          <cell r="C185" t="str">
            <v>B.UBTH.XIV.37</v>
          </cell>
          <cell r="D185" t="str">
            <v>06.1.02.08.39</v>
          </cell>
          <cell r="E185" t="str">
            <v>Persiapan dan Pelaksanaan Uji Kompetensi Program Studi Analis Kesehatan - TP</v>
          </cell>
        </row>
        <row r="186">
          <cell r="C186" t="str">
            <v>B.UBTH.XIV.38</v>
          </cell>
          <cell r="D186" t="str">
            <v>06.1.02.08.40</v>
          </cell>
          <cell r="E186" t="str">
            <v>Praktek Kerja Lapangan 1 Program Studi Analis Kesehatan - TP</v>
          </cell>
        </row>
        <row r="187">
          <cell r="C187" t="str">
            <v>B.UBTH.XIV.39</v>
          </cell>
          <cell r="D187" t="str">
            <v>06.1.02.08.41</v>
          </cell>
          <cell r="E187" t="str">
            <v>Praktek Kerja Lapangan 2 Program Studi Analis Kesehatan - TP</v>
          </cell>
        </row>
        <row r="188">
          <cell r="C188" t="str">
            <v>B.UBTH.XIV.40</v>
          </cell>
          <cell r="D188" t="str">
            <v>06.1.02.08.41</v>
          </cell>
          <cell r="E188" t="str">
            <v>Praktek Kerja Lapangan 2 Program Studi Analis Kesehatan - TP</v>
          </cell>
        </row>
        <row r="189">
          <cell r="C189" t="str">
            <v>B.UBTH.XIV.41</v>
          </cell>
          <cell r="D189" t="str">
            <v>06.1.02.08.42</v>
          </cell>
          <cell r="E189" t="str">
            <v>PKMD Program Studi Analis Kesehatan - TP</v>
          </cell>
        </row>
        <row r="190">
          <cell r="C190" t="str">
            <v>B.UBTH.XIV.42</v>
          </cell>
          <cell r="D190" t="str">
            <v>06.1.02.07.16</v>
          </cell>
          <cell r="E190" t="str">
            <v>Matrikulasi dan Pengkayaan CBT dan OSCE  - TP</v>
          </cell>
        </row>
        <row r="191">
          <cell r="C191" t="str">
            <v>B.UBTH.XIV.43</v>
          </cell>
          <cell r="D191" t="str">
            <v>06.1.02.08.43</v>
          </cell>
          <cell r="E191" t="str">
            <v>Uji Kompetensi LSP Program Studi Analis Kesehatan - TP</v>
          </cell>
        </row>
        <row r="192">
          <cell r="C192" t="str">
            <v>B.UBTH.XIV.44</v>
          </cell>
          <cell r="D192" t="str">
            <v>06.1.02.04.01</v>
          </cell>
          <cell r="E192" t="str">
            <v>Kegiatan Kehumas - TP</v>
          </cell>
        </row>
        <row r="193">
          <cell r="C193" t="str">
            <v>B.UBTH.XIV.45</v>
          </cell>
          <cell r="D193" t="str">
            <v>06.1.02.08.44</v>
          </cell>
          <cell r="E193" t="str">
            <v>Honor dosen Program Studi Administrasi Rumahsakit - TP</v>
          </cell>
        </row>
        <row r="194">
          <cell r="C194" t="str">
            <v>B.UBTH.XIV.46</v>
          </cell>
          <cell r="D194" t="str">
            <v>06.1.02.08.45</v>
          </cell>
          <cell r="E194" t="str">
            <v>Transfor Dosen dan Asisten Luar Program Studi Administrasi Rumahsakit - TP</v>
          </cell>
        </row>
        <row r="195">
          <cell r="C195" t="str">
            <v>B.UBTH.XIV.47</v>
          </cell>
          <cell r="D195" t="str">
            <v>06.1.02.08.46</v>
          </cell>
          <cell r="E195" t="str">
            <v>Honor Dosen Pakar/Ahli  Program Studi Administrasi Rumahsakit - TP</v>
          </cell>
        </row>
        <row r="196">
          <cell r="C196" t="str">
            <v>B.UBTH.XIV.48</v>
          </cell>
          <cell r="D196" t="str">
            <v>06.1.02.08.47</v>
          </cell>
          <cell r="E196" t="str">
            <v>Honor Dosen Wali Program Studi Administrasi Rumahsakit - TP</v>
          </cell>
        </row>
        <row r="197">
          <cell r="C197" t="str">
            <v>B.UBTH.XIV.49</v>
          </cell>
          <cell r="D197" t="str">
            <v>06.1.02.08.48</v>
          </cell>
          <cell r="E197" t="str">
            <v>Honor UTS dan UAS Teori, Praktikum dan Klinik Program Studi Administrasi Rumahsakit - TP</v>
          </cell>
        </row>
        <row r="198">
          <cell r="C198" t="str">
            <v>B.UBTH.XIV.50</v>
          </cell>
          <cell r="D198" t="str">
            <v>06.1.02.08.49</v>
          </cell>
          <cell r="E198" t="str">
            <v>Praktek Belajar Lapangan Program Studi Administrasi Rumah Sakit - TP</v>
          </cell>
        </row>
        <row r="199">
          <cell r="C199" t="str">
            <v>B.UBTH.XIV.51</v>
          </cell>
          <cell r="D199" t="str">
            <v>06.1.01.02.11</v>
          </cell>
          <cell r="E199" t="str">
            <v>Iuran Keanggotaan - TP</v>
          </cell>
        </row>
        <row r="200">
          <cell r="C200" t="str">
            <v>B.UBTH.XIV.52</v>
          </cell>
          <cell r="D200" t="str">
            <v>06.1.02.08.12</v>
          </cell>
          <cell r="E200" t="str">
            <v>Honor dosen Program Studi Keperawatan - TP</v>
          </cell>
        </row>
        <row r="201">
          <cell r="C201" t="str">
            <v>B.UBTH.XIV.53</v>
          </cell>
          <cell r="D201" t="str">
            <v>06.1.02.08.13</v>
          </cell>
          <cell r="E201" t="str">
            <v>Honor asisten dan CI Program Studi Keperawatan - TP</v>
          </cell>
        </row>
        <row r="202">
          <cell r="C202" t="str">
            <v>B.UBTH.XIV.54</v>
          </cell>
          <cell r="D202" t="str">
            <v>06.1.02.08.14</v>
          </cell>
          <cell r="E202" t="str">
            <v>Transfor Dosen dan Asisten Luar Program Studi Keperawatan - TP</v>
          </cell>
        </row>
        <row r="203">
          <cell r="C203" t="str">
            <v>B.UBTH.XIV.55</v>
          </cell>
          <cell r="D203" t="str">
            <v>06.1.02.08.16</v>
          </cell>
          <cell r="E203" t="str">
            <v>Honor Dosen Wali Program Studi Keperawatan - TP</v>
          </cell>
        </row>
        <row r="204">
          <cell r="C204" t="str">
            <v>B.UBTH.XIV.56</v>
          </cell>
          <cell r="D204" t="str">
            <v>06.1.02.08.17</v>
          </cell>
          <cell r="E204" t="str">
            <v>Honor UTS dan UAS Teori, Praktikum dan Klinik Program Studi Keperawatan - TP</v>
          </cell>
        </row>
        <row r="205">
          <cell r="C205" t="str">
            <v>B.UBTH.XIV.57</v>
          </cell>
          <cell r="D205" t="str">
            <v>06.1.02.04.01</v>
          </cell>
          <cell r="E205" t="str">
            <v>Kegiatan Kehumas - TP</v>
          </cell>
        </row>
        <row r="206">
          <cell r="C206" t="str">
            <v>B.UBTH.XIV.58</v>
          </cell>
          <cell r="D206" t="str">
            <v>06.1.02.07.14</v>
          </cell>
          <cell r="E206" t="str">
            <v>Honor Dosen Wali Prodi PSPPA Fakultas Farmasi - TP</v>
          </cell>
        </row>
        <row r="207">
          <cell r="C207" t="str">
            <v>B.UBTH.XIV.59</v>
          </cell>
          <cell r="D207" t="str">
            <v>06.1.02.07.19</v>
          </cell>
          <cell r="E207" t="str">
            <v>Praktek Klinik Profesi Apoteker PSPPA - TP</v>
          </cell>
        </row>
        <row r="208">
          <cell r="C208" t="str">
            <v>B.UBTH.XIV.60</v>
          </cell>
          <cell r="D208" t="str">
            <v>06.1.02.07.19</v>
          </cell>
          <cell r="E208" t="str">
            <v>Praktek Klinik Profesi Apoteker PSPPA - TP</v>
          </cell>
        </row>
        <row r="209">
          <cell r="C209" t="str">
            <v>B.UBTH.XIV.61</v>
          </cell>
          <cell r="D209" t="str">
            <v>06.1.02.07.19</v>
          </cell>
          <cell r="E209" t="str">
            <v>Praktek Klinik Profesi Apoteker PSPPA - TP</v>
          </cell>
        </row>
        <row r="210">
          <cell r="C210" t="str">
            <v>B.UBTH.XIV.62</v>
          </cell>
          <cell r="D210" t="str">
            <v>06.1.02.07.19</v>
          </cell>
          <cell r="E210" t="str">
            <v>Praktek Klinik Profesi Apoteker PSPPA - TP</v>
          </cell>
        </row>
        <row r="212">
          <cell r="C212" t="str">
            <v>B.UBTH.XV.01</v>
          </cell>
          <cell r="D212" t="str">
            <v>06.1.02.09.01</v>
          </cell>
          <cell r="E212" t="str">
            <v>Honor dosen Program Studi Teknologi Pangan - TP</v>
          </cell>
        </row>
        <row r="213">
          <cell r="C213" t="str">
            <v>B.UBTH.XV.02</v>
          </cell>
          <cell r="D213" t="str">
            <v>06.1.02.09.02</v>
          </cell>
          <cell r="E213" t="str">
            <v>Honor asisten Program Studi Teknologi Pangan - TP</v>
          </cell>
        </row>
        <row r="214">
          <cell r="C214" t="str">
            <v>B.UBTH.XV.03</v>
          </cell>
          <cell r="D214" t="str">
            <v>06.1.02.09.03</v>
          </cell>
          <cell r="E214" t="str">
            <v>Transfor Dosen dan Asisten Luar Program Studi Teknologi Pangan - TP</v>
          </cell>
        </row>
        <row r="215">
          <cell r="C215" t="str">
            <v>B.UBTH.XV.04</v>
          </cell>
          <cell r="D215" t="str">
            <v>06.1.02.09.04</v>
          </cell>
          <cell r="E215" t="str">
            <v>Honor Dosen Pakar/Ahli  Program Studi Teknologi Pangan - TP</v>
          </cell>
        </row>
        <row r="216">
          <cell r="C216" t="str">
            <v>B.UBTH.XV.05</v>
          </cell>
          <cell r="D216" t="str">
            <v>06.1.02.09.05</v>
          </cell>
          <cell r="E216" t="str">
            <v>Honor Dosen Wali Program Studi Teknologi Pangan - TP</v>
          </cell>
        </row>
        <row r="217">
          <cell r="C217" t="str">
            <v>B.UBTH.XV.06</v>
          </cell>
          <cell r="D217" t="str">
            <v>06.1.02.09.06</v>
          </cell>
          <cell r="E217" t="str">
            <v>Honor UTS dan UAS Teori, Praktikum dan Klinik Program Studi Teknologi Pangan - TP</v>
          </cell>
        </row>
        <row r="218">
          <cell r="C218" t="str">
            <v>B.UBTH.XV.07</v>
          </cell>
          <cell r="D218" t="str">
            <v>06.1.02.09.17</v>
          </cell>
          <cell r="E218" t="str">
            <v>Kerja Praktek Prodi Teknologi Pangan</v>
          </cell>
        </row>
        <row r="219">
          <cell r="C219" t="str">
            <v>B.UBTH.XV.08</v>
          </cell>
          <cell r="D219" t="str">
            <v>06.1.02.09.08</v>
          </cell>
          <cell r="E219" t="str">
            <v>Honor Dosen Pakar/Ahli  Program Studi Bisnis Digital - TP</v>
          </cell>
        </row>
        <row r="220">
          <cell r="C220" t="str">
            <v>B.UBTH.XV.09</v>
          </cell>
          <cell r="D220" t="str">
            <v>06.1.02.09.09</v>
          </cell>
          <cell r="E220" t="str">
            <v>Honor Dosen Wali Program Studi Bisnis Digital - TP</v>
          </cell>
        </row>
        <row r="221">
          <cell r="C221" t="str">
            <v>B.UBTH.XV.10</v>
          </cell>
          <cell r="D221" t="str">
            <v>06.1.02.09.10</v>
          </cell>
          <cell r="E221" t="str">
            <v>Honor UTS dan UAS Teori, Praktikum dan Klinik Program Studi Bisnis Digital - TP</v>
          </cell>
        </row>
        <row r="222">
          <cell r="C222" t="str">
            <v>B.UBTH.XV.11</v>
          </cell>
          <cell r="D222" t="str">
            <v>06.1.02.09.11</v>
          </cell>
          <cell r="E222" t="str">
            <v>Honor dosen Program Studi Kewirausahaan - TP</v>
          </cell>
        </row>
        <row r="223">
          <cell r="C223" t="str">
            <v>B.UBTH.XV.12</v>
          </cell>
          <cell r="D223" t="str">
            <v>06.1.02.09.12</v>
          </cell>
          <cell r="E223" t="str">
            <v>Transfor Dosen dan Asisten Luar Program Studi Kewirausahaan - TP</v>
          </cell>
        </row>
        <row r="224">
          <cell r="C224" t="str">
            <v>B.UBTH.XV.13</v>
          </cell>
          <cell r="D224" t="str">
            <v>06.1.02.09.13</v>
          </cell>
          <cell r="E224" t="str">
            <v>Honor Dosen Pakar/Ahli  Program Studi Kewirausahaan - TP</v>
          </cell>
        </row>
        <row r="225">
          <cell r="C225" t="str">
            <v>B.UBTH.XV.14</v>
          </cell>
          <cell r="D225" t="str">
            <v>06.1.02.09.14</v>
          </cell>
          <cell r="E225" t="str">
            <v>Honor Dosen Wali Program Studi Kewirausahaan - TP</v>
          </cell>
        </row>
        <row r="226">
          <cell r="C226" t="str">
            <v>B.UBTH.XV.15</v>
          </cell>
          <cell r="D226" t="str">
            <v>06.1.02.09.15</v>
          </cell>
          <cell r="E226" t="str">
            <v>Honor UTS dan UAS Teori, Praktikum dan Klinik Program Studi Kewirausahaan - TP</v>
          </cell>
        </row>
        <row r="227">
          <cell r="C227" t="str">
            <v>B.UBTH.XV.16</v>
          </cell>
          <cell r="D227" t="str">
            <v>06.1.02.09.16</v>
          </cell>
          <cell r="E227" t="str">
            <v>Pendaftaran keanggotaan APSKI - TP</v>
          </cell>
        </row>
        <row r="228">
          <cell r="C228" t="str">
            <v>B.UBTH.XV.17</v>
          </cell>
          <cell r="D228" t="str">
            <v>06.1.02.09.18</v>
          </cell>
          <cell r="E228" t="str">
            <v>Honor Dosen Program Studi Sistem Informasi</v>
          </cell>
        </row>
        <row r="229">
          <cell r="C229" t="str">
            <v>B.UBTH.XV.18</v>
          </cell>
          <cell r="D229" t="str">
            <v>06.1.02.09.19</v>
          </cell>
          <cell r="E229" t="str">
            <v>Honor Dosen Wali Program Studi Sistem Informasi</v>
          </cell>
        </row>
        <row r="230">
          <cell r="C230" t="str">
            <v>B.UBTH.XV.19</v>
          </cell>
          <cell r="D230" t="str">
            <v>06.1.02.09.20</v>
          </cell>
          <cell r="E230" t="str">
            <v>Honor UTS dan UAS Teori, Praktikum dan Klinik Program Studi Sistem Informasi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B7449-AB96-4A23-9DCD-AA3654BF9DAE}">
  <dimension ref="A1:M303"/>
  <sheetViews>
    <sheetView tabSelected="1" zoomScale="85" zoomScaleNormal="85" workbookViewId="0">
      <selection activeCell="D15" sqref="D15"/>
    </sheetView>
  </sheetViews>
  <sheetFormatPr defaultColWidth="9" defaultRowHeight="17.100000000000001" customHeight="1"/>
  <cols>
    <col min="1" max="1" width="16.42578125" style="46" customWidth="1"/>
    <col min="2" max="2" width="40.140625" style="15" bestFit="1" customWidth="1"/>
    <col min="3" max="3" width="10.28515625" style="15" bestFit="1" customWidth="1"/>
    <col min="4" max="4" width="125.7109375" style="47" customWidth="1"/>
    <col min="5" max="5" width="19.85546875" style="48" bestFit="1" customWidth="1"/>
    <col min="6" max="6" width="17.7109375" style="49" bestFit="1" customWidth="1"/>
    <col min="7" max="7" width="20.28515625" style="5" customWidth="1"/>
    <col min="8" max="8" width="19.42578125" style="3" bestFit="1" customWidth="1"/>
    <col min="9" max="9" width="21.140625" style="4" bestFit="1" customWidth="1"/>
    <col min="10" max="10" width="33.140625" style="4" bestFit="1" customWidth="1"/>
    <col min="11" max="11" width="15.140625" style="4" customWidth="1"/>
    <col min="12" max="12" width="12.7109375" style="4" customWidth="1"/>
    <col min="13" max="13" width="13" style="4" customWidth="1"/>
    <col min="14" max="14" width="15.140625" style="4" customWidth="1"/>
    <col min="15" max="15" width="11.7109375" style="4" customWidth="1"/>
    <col min="16" max="16" width="12.5703125" style="4" customWidth="1"/>
    <col min="17" max="16381" width="9" style="4"/>
    <col min="16382" max="16384" width="10" style="4" customWidth="1"/>
  </cols>
  <sheetData>
    <row r="1" spans="1:13" ht="17.100000000000001" customHeight="1">
      <c r="A1" s="50" t="s">
        <v>0</v>
      </c>
      <c r="B1" s="50"/>
      <c r="C1" s="50"/>
      <c r="D1" s="50"/>
      <c r="E1" s="50"/>
      <c r="F1" s="2"/>
      <c r="G1" s="2"/>
    </row>
    <row r="2" spans="1:13" ht="17.100000000000001" customHeight="1">
      <c r="A2" s="50" t="s">
        <v>1</v>
      </c>
      <c r="B2" s="50"/>
      <c r="C2" s="50"/>
      <c r="D2" s="50"/>
      <c r="E2" s="50"/>
      <c r="F2" s="2"/>
    </row>
    <row r="3" spans="1:13" ht="17.100000000000001" customHeight="1">
      <c r="A3" s="50" t="s">
        <v>2</v>
      </c>
      <c r="B3" s="50"/>
      <c r="C3" s="50"/>
      <c r="D3" s="50"/>
      <c r="E3" s="50"/>
      <c r="F3" s="2"/>
    </row>
    <row r="4" spans="1:13" ht="17.100000000000001" customHeight="1">
      <c r="A4" s="6"/>
      <c r="B4" s="1"/>
      <c r="C4" s="1"/>
      <c r="D4" s="7"/>
      <c r="E4" s="8"/>
      <c r="F4" s="9"/>
    </row>
    <row r="5" spans="1:13" ht="17.100000000000001" customHeight="1">
      <c r="A5" s="10" t="s">
        <v>3</v>
      </c>
      <c r="B5" s="11" t="s">
        <v>4</v>
      </c>
      <c r="C5" s="11" t="s">
        <v>5</v>
      </c>
      <c r="D5" s="12" t="s">
        <v>6</v>
      </c>
      <c r="E5" s="13" t="s">
        <v>426</v>
      </c>
      <c r="F5" s="14" t="s">
        <v>425</v>
      </c>
      <c r="G5" s="53" t="s">
        <v>427</v>
      </c>
      <c r="H5" s="54" t="s">
        <v>428</v>
      </c>
      <c r="I5" s="55" t="s">
        <v>429</v>
      </c>
      <c r="J5" s="56" t="s">
        <v>430</v>
      </c>
      <c r="K5" s="16"/>
      <c r="L5" s="16"/>
      <c r="M5" s="16"/>
    </row>
    <row r="6" spans="1:13" ht="17.100000000000001" customHeight="1">
      <c r="A6" s="17">
        <v>46058</v>
      </c>
      <c r="B6" s="55" t="s">
        <v>7</v>
      </c>
      <c r="C6" s="55">
        <v>1</v>
      </c>
      <c r="D6" s="18" t="s">
        <v>8</v>
      </c>
      <c r="E6" s="19">
        <v>100000</v>
      </c>
      <c r="F6" s="20" t="s">
        <v>9</v>
      </c>
      <c r="G6" s="53" t="str">
        <f>VLOOKUP(F6,[3]Sheet2!$C$10:$E$231,2,FALSE)</f>
        <v>06.1.01.05.02</v>
      </c>
      <c r="H6" s="57" t="str">
        <f>VLOOKUP(F6,[3]Sheet2!$C$10:$E$231,3,FALSE)</f>
        <v>Transport lokal dan parkir - TP</v>
      </c>
      <c r="I6" s="58" t="s">
        <v>423</v>
      </c>
      <c r="J6" s="59" t="s">
        <v>424</v>
      </c>
      <c r="K6" s="21"/>
      <c r="L6" s="21"/>
      <c r="M6" s="16"/>
    </row>
    <row r="7" spans="1:13" ht="17.100000000000001" customHeight="1">
      <c r="A7" s="17">
        <v>46058</v>
      </c>
      <c r="B7" s="55" t="s">
        <v>7</v>
      </c>
      <c r="C7" s="55">
        <v>2</v>
      </c>
      <c r="D7" s="18" t="s">
        <v>10</v>
      </c>
      <c r="E7" s="22">
        <v>75000</v>
      </c>
      <c r="F7" s="23" t="s">
        <v>9</v>
      </c>
      <c r="G7" s="53" t="str">
        <f>VLOOKUP(F7,[3]Sheet2!$C$10:$E$231,2,FALSE)</f>
        <v>06.1.01.05.02</v>
      </c>
      <c r="H7" s="57" t="str">
        <f>VLOOKUP(F7,[3]Sheet2!$C$10:$E$231,3,FALSE)</f>
        <v>Transport lokal dan parkir - TP</v>
      </c>
      <c r="I7" s="58" t="s">
        <v>423</v>
      </c>
      <c r="J7" s="59" t="s">
        <v>424</v>
      </c>
      <c r="K7" s="21"/>
      <c r="L7" s="21"/>
      <c r="M7" s="16"/>
    </row>
    <row r="8" spans="1:13" ht="17.100000000000001" customHeight="1">
      <c r="A8" s="17">
        <v>46058</v>
      </c>
      <c r="B8" s="55" t="s">
        <v>7</v>
      </c>
      <c r="C8" s="55">
        <v>3</v>
      </c>
      <c r="D8" s="18" t="s">
        <v>11</v>
      </c>
      <c r="E8" s="19">
        <v>100000</v>
      </c>
      <c r="F8" s="20" t="s">
        <v>9</v>
      </c>
      <c r="G8" s="53" t="str">
        <f>VLOOKUP(F8,[3]Sheet2!$C$10:$E$231,2,FALSE)</f>
        <v>06.1.01.05.02</v>
      </c>
      <c r="H8" s="57" t="str">
        <f>VLOOKUP(F8,[3]Sheet2!$C$10:$E$231,3,FALSE)</f>
        <v>Transport lokal dan parkir - TP</v>
      </c>
      <c r="I8" s="58" t="s">
        <v>423</v>
      </c>
      <c r="J8" s="59" t="s">
        <v>424</v>
      </c>
      <c r="K8" s="21"/>
      <c r="L8" s="21"/>
      <c r="M8" s="16"/>
    </row>
    <row r="9" spans="1:13" ht="17.100000000000001" customHeight="1">
      <c r="A9" s="17">
        <v>46058</v>
      </c>
      <c r="B9" s="55" t="s">
        <v>7</v>
      </c>
      <c r="C9" s="55">
        <v>4</v>
      </c>
      <c r="D9" s="18" t="s">
        <v>12</v>
      </c>
      <c r="E9" s="22">
        <v>75000</v>
      </c>
      <c r="F9" s="23" t="s">
        <v>9</v>
      </c>
      <c r="G9" s="53" t="str">
        <f>VLOOKUP(F9,[3]Sheet2!$C$10:$E$231,2,FALSE)</f>
        <v>06.1.01.05.02</v>
      </c>
      <c r="H9" s="57" t="str">
        <f>VLOOKUP(F9,[3]Sheet2!$C$10:$E$231,3,FALSE)</f>
        <v>Transport lokal dan parkir - TP</v>
      </c>
      <c r="I9" s="58" t="s">
        <v>423</v>
      </c>
      <c r="J9" s="59" t="s">
        <v>424</v>
      </c>
      <c r="K9" s="21"/>
      <c r="L9" s="21"/>
      <c r="M9" s="16"/>
    </row>
    <row r="10" spans="1:13" ht="17.100000000000001" customHeight="1">
      <c r="A10" s="17">
        <v>46058</v>
      </c>
      <c r="B10" s="55" t="s">
        <v>7</v>
      </c>
      <c r="C10" s="55">
        <v>5</v>
      </c>
      <c r="D10" s="18" t="s">
        <v>13</v>
      </c>
      <c r="E10" s="19">
        <v>75000</v>
      </c>
      <c r="F10" s="20" t="s">
        <v>9</v>
      </c>
      <c r="G10" s="53" t="str">
        <f>VLOOKUP(F10,[3]Sheet2!$C$10:$E$231,2,FALSE)</f>
        <v>06.1.01.05.02</v>
      </c>
      <c r="H10" s="57" t="str">
        <f>VLOOKUP(F10,[3]Sheet2!$C$10:$E$231,3,FALSE)</f>
        <v>Transport lokal dan parkir - TP</v>
      </c>
      <c r="I10" s="58" t="s">
        <v>423</v>
      </c>
      <c r="J10" s="59" t="s">
        <v>424</v>
      </c>
      <c r="K10" s="21"/>
      <c r="L10" s="21"/>
      <c r="M10" s="16"/>
    </row>
    <row r="11" spans="1:13" ht="17.100000000000001" customHeight="1">
      <c r="A11" s="17">
        <v>46058</v>
      </c>
      <c r="B11" s="55" t="s">
        <v>7</v>
      </c>
      <c r="C11" s="55">
        <v>6</v>
      </c>
      <c r="D11" s="18" t="s">
        <v>14</v>
      </c>
      <c r="E11" s="22">
        <v>75000</v>
      </c>
      <c r="F11" s="23" t="s">
        <v>9</v>
      </c>
      <c r="G11" s="53" t="str">
        <f>VLOOKUP(F11,[3]Sheet2!$C$10:$E$231,2,FALSE)</f>
        <v>06.1.01.05.02</v>
      </c>
      <c r="H11" s="57" t="str">
        <f>VLOOKUP(F11,[3]Sheet2!$C$10:$E$231,3,FALSE)</f>
        <v>Transport lokal dan parkir - TP</v>
      </c>
      <c r="I11" s="58" t="s">
        <v>423</v>
      </c>
      <c r="J11" s="59" t="s">
        <v>424</v>
      </c>
      <c r="K11" s="21"/>
      <c r="L11" s="21"/>
      <c r="M11" s="16"/>
    </row>
    <row r="12" spans="1:13" ht="17.100000000000001" customHeight="1">
      <c r="A12" s="17">
        <v>46058</v>
      </c>
      <c r="B12" s="55" t="s">
        <v>7</v>
      </c>
      <c r="C12" s="55">
        <v>7</v>
      </c>
      <c r="D12" s="18" t="s">
        <v>15</v>
      </c>
      <c r="E12" s="19">
        <v>2000</v>
      </c>
      <c r="F12" s="20" t="s">
        <v>9</v>
      </c>
      <c r="G12" s="53" t="str">
        <f>VLOOKUP(F12,[3]Sheet2!$C$10:$E$231,2,FALSE)</f>
        <v>06.1.01.05.02</v>
      </c>
      <c r="H12" s="57" t="str">
        <f>VLOOKUP(F12,[3]Sheet2!$C$10:$E$231,3,FALSE)</f>
        <v>Transport lokal dan parkir - TP</v>
      </c>
      <c r="I12" s="58" t="s">
        <v>423</v>
      </c>
      <c r="J12" s="59" t="s">
        <v>424</v>
      </c>
      <c r="K12" s="21"/>
      <c r="L12" s="21"/>
      <c r="M12" s="16"/>
    </row>
    <row r="13" spans="1:13" ht="17.100000000000001" customHeight="1">
      <c r="A13" s="17">
        <v>46058</v>
      </c>
      <c r="B13" s="55" t="s">
        <v>7</v>
      </c>
      <c r="C13" s="55">
        <v>8</v>
      </c>
      <c r="D13" s="24" t="s">
        <v>16</v>
      </c>
      <c r="E13" s="22">
        <v>292000</v>
      </c>
      <c r="F13" s="23" t="s">
        <v>17</v>
      </c>
      <c r="G13" s="53" t="str">
        <f>VLOOKUP(F13,[3]Sheet2!$C$10:$E$231,2,FALSE)</f>
        <v>06.1.01.06.02</v>
      </c>
      <c r="H13" s="57" t="str">
        <f>VLOOKUP(F13,[3]Sheet2!$C$10:$E$231,3,FALSE)</f>
        <v>Biaya telepon/fax/internet - TP</v>
      </c>
      <c r="I13" s="58" t="s">
        <v>423</v>
      </c>
      <c r="J13" s="59" t="s">
        <v>424</v>
      </c>
      <c r="K13" s="21"/>
      <c r="L13" s="21"/>
      <c r="M13" s="16"/>
    </row>
    <row r="14" spans="1:13" ht="17.100000000000001" customHeight="1">
      <c r="A14" s="17">
        <v>46058</v>
      </c>
      <c r="B14" s="55" t="s">
        <v>7</v>
      </c>
      <c r="C14" s="55">
        <v>9</v>
      </c>
      <c r="D14" s="18" t="s">
        <v>18</v>
      </c>
      <c r="E14" s="19">
        <v>208000</v>
      </c>
      <c r="F14" s="23" t="s">
        <v>19</v>
      </c>
      <c r="G14" s="53" t="str">
        <f>VLOOKUP(F14,[3]Sheet2!$C$10:$E$231,2,FALSE)</f>
        <v>06.1.01.03.08</v>
      </c>
      <c r="H14" s="57" t="str">
        <f>VLOOKUP(F14,[3]Sheet2!$C$10:$E$231,3,FALSE)</f>
        <v>Biaya Konsumsi Karyawan - TP</v>
      </c>
      <c r="I14" s="58" t="s">
        <v>423</v>
      </c>
      <c r="J14" s="59" t="s">
        <v>424</v>
      </c>
      <c r="K14" s="21"/>
      <c r="L14" s="21"/>
      <c r="M14" s="16"/>
    </row>
    <row r="15" spans="1:13" ht="17.100000000000001" customHeight="1">
      <c r="A15" s="17">
        <v>46058</v>
      </c>
      <c r="B15" s="55" t="s">
        <v>7</v>
      </c>
      <c r="C15" s="55">
        <v>10</v>
      </c>
      <c r="D15" s="24" t="s">
        <v>20</v>
      </c>
      <c r="E15" s="22">
        <v>399000</v>
      </c>
      <c r="F15" s="23" t="s">
        <v>21</v>
      </c>
      <c r="G15" s="53" t="str">
        <f>VLOOKUP(F15,[3]Sheet2!$C$10:$E$231,2,FALSE)</f>
        <v>06.1.01.03.18</v>
      </c>
      <c r="H15" s="57" t="str">
        <f>VLOOKUP(F15,[3]Sheet2!$C$10:$E$231,3,FALSE)</f>
        <v>Belanja barang perpustakaan - TP</v>
      </c>
      <c r="I15" s="58" t="s">
        <v>423</v>
      </c>
      <c r="J15" s="59" t="s">
        <v>424</v>
      </c>
      <c r="K15" s="21"/>
      <c r="L15" s="21"/>
      <c r="M15" s="16"/>
    </row>
    <row r="16" spans="1:13" ht="17.100000000000001" customHeight="1">
      <c r="A16" s="17">
        <v>46058</v>
      </c>
      <c r="B16" s="55" t="s">
        <v>7</v>
      </c>
      <c r="C16" s="55">
        <v>11</v>
      </c>
      <c r="D16" s="18" t="s">
        <v>22</v>
      </c>
      <c r="E16" s="19">
        <v>130000</v>
      </c>
      <c r="F16" s="20" t="s">
        <v>23</v>
      </c>
      <c r="G16" s="53" t="str">
        <f>VLOOKUP(F16,[3]Sheet2!$C$10:$E$231,2,FALSE)</f>
        <v>06.1.01.03.06</v>
      </c>
      <c r="H16" s="57" t="str">
        <f>VLOOKUP(F16,[3]Sheet2!$C$10:$E$231,3,FALSE)</f>
        <v>Biaya  Barang Inventaris Kantor - TP</v>
      </c>
      <c r="I16" s="58" t="s">
        <v>423</v>
      </c>
      <c r="J16" s="59" t="s">
        <v>424</v>
      </c>
      <c r="K16" s="21"/>
      <c r="L16" s="21"/>
      <c r="M16" s="16"/>
    </row>
    <row r="17" spans="1:13" ht="17.100000000000001" customHeight="1">
      <c r="A17" s="17">
        <v>46058</v>
      </c>
      <c r="B17" s="55" t="s">
        <v>7</v>
      </c>
      <c r="C17" s="55">
        <v>12</v>
      </c>
      <c r="D17" s="18" t="s">
        <v>24</v>
      </c>
      <c r="E17" s="22">
        <v>130000</v>
      </c>
      <c r="F17" s="23" t="s">
        <v>23</v>
      </c>
      <c r="G17" s="53" t="str">
        <f>VLOOKUP(F17,[3]Sheet2!$C$10:$E$231,2,FALSE)</f>
        <v>06.1.01.03.06</v>
      </c>
      <c r="H17" s="57" t="str">
        <f>VLOOKUP(F17,[3]Sheet2!$C$10:$E$231,3,FALSE)</f>
        <v>Biaya  Barang Inventaris Kantor - TP</v>
      </c>
      <c r="I17" s="58" t="s">
        <v>423</v>
      </c>
      <c r="J17" s="59" t="s">
        <v>424</v>
      </c>
      <c r="K17" s="21"/>
      <c r="L17" s="21"/>
      <c r="M17" s="16"/>
    </row>
    <row r="18" spans="1:13" ht="17.100000000000001" customHeight="1">
      <c r="A18" s="17">
        <v>46058</v>
      </c>
      <c r="B18" s="55" t="s">
        <v>7</v>
      </c>
      <c r="C18" s="55">
        <v>13</v>
      </c>
      <c r="D18" s="18" t="s">
        <v>25</v>
      </c>
      <c r="E18" s="19">
        <v>112900</v>
      </c>
      <c r="F18" s="20" t="s">
        <v>19</v>
      </c>
      <c r="G18" s="53" t="str">
        <f>VLOOKUP(F18,[3]Sheet2!$C$10:$E$231,2,FALSE)</f>
        <v>06.1.01.03.08</v>
      </c>
      <c r="H18" s="57" t="str">
        <f>VLOOKUP(F18,[3]Sheet2!$C$10:$E$231,3,FALSE)</f>
        <v>Biaya Konsumsi Karyawan - TP</v>
      </c>
      <c r="I18" s="58" t="s">
        <v>423</v>
      </c>
      <c r="J18" s="59" t="s">
        <v>424</v>
      </c>
      <c r="K18" s="21"/>
      <c r="L18" s="21"/>
      <c r="M18" s="16"/>
    </row>
    <row r="19" spans="1:13" ht="17.100000000000001" customHeight="1">
      <c r="A19" s="17">
        <v>46058</v>
      </c>
      <c r="B19" s="55" t="s">
        <v>7</v>
      </c>
      <c r="C19" s="55">
        <v>14</v>
      </c>
      <c r="D19" s="18" t="s">
        <v>25</v>
      </c>
      <c r="E19" s="22">
        <v>1209100</v>
      </c>
      <c r="F19" s="23" t="s">
        <v>19</v>
      </c>
      <c r="G19" s="53" t="str">
        <f>VLOOKUP(F19,[3]Sheet2!$C$10:$E$231,2,FALSE)</f>
        <v>06.1.01.03.08</v>
      </c>
      <c r="H19" s="57" t="str">
        <f>VLOOKUP(F19,[3]Sheet2!$C$10:$E$231,3,FALSE)</f>
        <v>Biaya Konsumsi Karyawan - TP</v>
      </c>
      <c r="I19" s="58" t="s">
        <v>423</v>
      </c>
      <c r="J19" s="59" t="s">
        <v>424</v>
      </c>
      <c r="K19" s="21"/>
      <c r="L19" s="21"/>
      <c r="M19" s="16"/>
    </row>
    <row r="20" spans="1:13" ht="17.100000000000001" customHeight="1">
      <c r="A20" s="17">
        <v>46058</v>
      </c>
      <c r="B20" s="55" t="s">
        <v>7</v>
      </c>
      <c r="C20" s="55">
        <v>15</v>
      </c>
      <c r="D20" s="18" t="s">
        <v>25</v>
      </c>
      <c r="E20" s="19">
        <v>271000</v>
      </c>
      <c r="F20" s="20" t="s">
        <v>19</v>
      </c>
      <c r="G20" s="53" t="str">
        <f>VLOOKUP(F20,[3]Sheet2!$C$10:$E$231,2,FALSE)</f>
        <v>06.1.01.03.08</v>
      </c>
      <c r="H20" s="57" t="str">
        <f>VLOOKUP(F20,[3]Sheet2!$C$10:$E$231,3,FALSE)</f>
        <v>Biaya Konsumsi Karyawan - TP</v>
      </c>
      <c r="I20" s="58" t="s">
        <v>423</v>
      </c>
      <c r="J20" s="59" t="s">
        <v>424</v>
      </c>
      <c r="K20" s="21"/>
      <c r="L20" s="21"/>
      <c r="M20" s="16"/>
    </row>
    <row r="21" spans="1:13" ht="17.100000000000001" customHeight="1">
      <c r="A21" s="17">
        <v>46058</v>
      </c>
      <c r="B21" s="55" t="s">
        <v>7</v>
      </c>
      <c r="C21" s="55">
        <v>16</v>
      </c>
      <c r="D21" s="18" t="s">
        <v>25</v>
      </c>
      <c r="E21" s="22">
        <v>591000</v>
      </c>
      <c r="F21" s="23" t="s">
        <v>19</v>
      </c>
      <c r="G21" s="53" t="str">
        <f>VLOOKUP(F21,[3]Sheet2!$C$10:$E$231,2,FALSE)</f>
        <v>06.1.01.03.08</v>
      </c>
      <c r="H21" s="57" t="str">
        <f>VLOOKUP(F21,[3]Sheet2!$C$10:$E$231,3,FALSE)</f>
        <v>Biaya Konsumsi Karyawan - TP</v>
      </c>
      <c r="I21" s="58" t="s">
        <v>423</v>
      </c>
      <c r="J21" s="59" t="s">
        <v>424</v>
      </c>
      <c r="K21" s="21"/>
      <c r="L21" s="21"/>
      <c r="M21" s="16"/>
    </row>
    <row r="22" spans="1:13" ht="17.100000000000001" customHeight="1">
      <c r="A22" s="17">
        <v>46058</v>
      </c>
      <c r="B22" s="55" t="s">
        <v>7</v>
      </c>
      <c r="C22" s="55">
        <v>17</v>
      </c>
      <c r="D22" s="18" t="s">
        <v>26</v>
      </c>
      <c r="E22" s="25">
        <v>80000</v>
      </c>
      <c r="F22" s="23" t="s">
        <v>19</v>
      </c>
      <c r="G22" s="53" t="str">
        <f>VLOOKUP(F22,[3]Sheet2!$C$10:$E$231,2,FALSE)</f>
        <v>06.1.01.03.08</v>
      </c>
      <c r="H22" s="57" t="str">
        <f>VLOOKUP(F22,[3]Sheet2!$C$10:$E$231,3,FALSE)</f>
        <v>Biaya Konsumsi Karyawan - TP</v>
      </c>
      <c r="I22" s="58" t="s">
        <v>423</v>
      </c>
      <c r="J22" s="59" t="s">
        <v>424</v>
      </c>
      <c r="K22" s="21"/>
      <c r="L22" s="21"/>
      <c r="M22" s="16"/>
    </row>
    <row r="23" spans="1:13" ht="17.100000000000001" customHeight="1">
      <c r="A23" s="17">
        <v>46058</v>
      </c>
      <c r="B23" s="55" t="s">
        <v>7</v>
      </c>
      <c r="C23" s="55">
        <v>18</v>
      </c>
      <c r="D23" s="18" t="s">
        <v>27</v>
      </c>
      <c r="E23" s="25">
        <v>280000</v>
      </c>
      <c r="F23" s="23" t="s">
        <v>19</v>
      </c>
      <c r="G23" s="53" t="str">
        <f>VLOOKUP(F23,[3]Sheet2!$C$10:$E$231,2,FALSE)</f>
        <v>06.1.01.03.08</v>
      </c>
      <c r="H23" s="57" t="str">
        <f>VLOOKUP(F23,[3]Sheet2!$C$10:$E$231,3,FALSE)</f>
        <v>Biaya Konsumsi Karyawan - TP</v>
      </c>
      <c r="I23" s="58" t="s">
        <v>423</v>
      </c>
      <c r="J23" s="59" t="s">
        <v>424</v>
      </c>
      <c r="K23" s="21"/>
      <c r="L23" s="21"/>
      <c r="M23" s="16"/>
    </row>
    <row r="24" spans="1:13" ht="17.100000000000001" customHeight="1">
      <c r="A24" s="17">
        <v>46058</v>
      </c>
      <c r="B24" s="55" t="s">
        <v>7</v>
      </c>
      <c r="C24" s="55">
        <v>19</v>
      </c>
      <c r="D24" s="18" t="s">
        <v>28</v>
      </c>
      <c r="E24" s="25">
        <v>280000</v>
      </c>
      <c r="F24" s="23" t="s">
        <v>19</v>
      </c>
      <c r="G24" s="53" t="str">
        <f>VLOOKUP(F24,[3]Sheet2!$C$10:$E$231,2,FALSE)</f>
        <v>06.1.01.03.08</v>
      </c>
      <c r="H24" s="57" t="str">
        <f>VLOOKUP(F24,[3]Sheet2!$C$10:$E$231,3,FALSE)</f>
        <v>Biaya Konsumsi Karyawan - TP</v>
      </c>
      <c r="I24" s="58" t="s">
        <v>423</v>
      </c>
      <c r="J24" s="59" t="s">
        <v>424</v>
      </c>
      <c r="K24" s="21"/>
      <c r="L24" s="21"/>
      <c r="M24" s="16"/>
    </row>
    <row r="25" spans="1:13" ht="17.100000000000001" customHeight="1">
      <c r="A25" s="17">
        <v>46058</v>
      </c>
      <c r="B25" s="55" t="s">
        <v>7</v>
      </c>
      <c r="C25" s="55">
        <v>20</v>
      </c>
      <c r="D25" s="18" t="s">
        <v>18</v>
      </c>
      <c r="E25" s="25">
        <v>180000</v>
      </c>
      <c r="F25" s="23" t="s">
        <v>19</v>
      </c>
      <c r="G25" s="53" t="str">
        <f>VLOOKUP(F25,[3]Sheet2!$C$10:$E$231,2,FALSE)</f>
        <v>06.1.01.03.08</v>
      </c>
      <c r="H25" s="57" t="str">
        <f>VLOOKUP(F25,[3]Sheet2!$C$10:$E$231,3,FALSE)</f>
        <v>Biaya Konsumsi Karyawan - TP</v>
      </c>
      <c r="I25" s="58" t="s">
        <v>423</v>
      </c>
      <c r="J25" s="59" t="s">
        <v>424</v>
      </c>
      <c r="K25" s="21"/>
      <c r="L25" s="21"/>
      <c r="M25" s="16"/>
    </row>
    <row r="26" spans="1:13" ht="17.100000000000001" customHeight="1">
      <c r="A26" s="17">
        <v>46058</v>
      </c>
      <c r="B26" s="55" t="s">
        <v>7</v>
      </c>
      <c r="C26" s="55">
        <v>21</v>
      </c>
      <c r="D26" s="18" t="s">
        <v>29</v>
      </c>
      <c r="E26" s="25">
        <v>80000</v>
      </c>
      <c r="F26" s="23" t="s">
        <v>19</v>
      </c>
      <c r="G26" s="53" t="str">
        <f>VLOOKUP(F26,[3]Sheet2!$C$10:$E$231,2,FALSE)</f>
        <v>06.1.01.03.08</v>
      </c>
      <c r="H26" s="57" t="str">
        <f>VLOOKUP(F26,[3]Sheet2!$C$10:$E$231,3,FALSE)</f>
        <v>Biaya Konsumsi Karyawan - TP</v>
      </c>
      <c r="I26" s="58" t="s">
        <v>423</v>
      </c>
      <c r="J26" s="59" t="s">
        <v>424</v>
      </c>
      <c r="K26" s="21"/>
      <c r="L26" s="21"/>
      <c r="M26" s="16"/>
    </row>
    <row r="27" spans="1:13" ht="17.100000000000001" customHeight="1">
      <c r="A27" s="17">
        <v>46058</v>
      </c>
      <c r="B27" s="55" t="s">
        <v>7</v>
      </c>
      <c r="C27" s="55">
        <v>22</v>
      </c>
      <c r="D27" s="18" t="s">
        <v>30</v>
      </c>
      <c r="E27" s="25">
        <v>13000</v>
      </c>
      <c r="F27" s="26" t="s">
        <v>31</v>
      </c>
      <c r="G27" s="53" t="str">
        <f>VLOOKUP(F27,[3]Sheet2!$C$10:$E$231,2,FALSE)</f>
        <v>06.1.02.04.02</v>
      </c>
      <c r="H27" s="57" t="str">
        <f>VLOOKUP(F27,[3]Sheet2!$C$10:$E$231,3,FALSE)</f>
        <v>Kerjasama Dalam dan Luar Negeri - TP</v>
      </c>
      <c r="I27" s="58" t="s">
        <v>423</v>
      </c>
      <c r="J27" s="59" t="s">
        <v>424</v>
      </c>
      <c r="K27" s="21"/>
      <c r="L27" s="21"/>
      <c r="M27" s="16"/>
    </row>
    <row r="28" spans="1:13" ht="17.100000000000001" customHeight="1">
      <c r="A28" s="17">
        <v>46058</v>
      </c>
      <c r="B28" s="55" t="s">
        <v>7</v>
      </c>
      <c r="C28" s="55">
        <v>23</v>
      </c>
      <c r="D28" s="18" t="s">
        <v>32</v>
      </c>
      <c r="E28" s="25">
        <v>376000</v>
      </c>
      <c r="F28" s="26" t="s">
        <v>19</v>
      </c>
      <c r="G28" s="53" t="str">
        <f>VLOOKUP(F28,[3]Sheet2!$C$10:$E$231,2,FALSE)</f>
        <v>06.1.01.03.08</v>
      </c>
      <c r="H28" s="57" t="str">
        <f>VLOOKUP(F28,[3]Sheet2!$C$10:$E$231,3,FALSE)</f>
        <v>Biaya Konsumsi Karyawan - TP</v>
      </c>
      <c r="I28" s="58" t="s">
        <v>423</v>
      </c>
      <c r="J28" s="59" t="s">
        <v>424</v>
      </c>
      <c r="K28" s="21"/>
      <c r="L28" s="21"/>
      <c r="M28" s="16"/>
    </row>
    <row r="29" spans="1:13" ht="17.100000000000001" customHeight="1">
      <c r="A29" s="17">
        <v>46058</v>
      </c>
      <c r="B29" s="55" t="s">
        <v>7</v>
      </c>
      <c r="C29" s="55">
        <v>24</v>
      </c>
      <c r="D29" s="18" t="s">
        <v>33</v>
      </c>
      <c r="E29" s="25">
        <v>320000</v>
      </c>
      <c r="F29" s="26" t="s">
        <v>19</v>
      </c>
      <c r="G29" s="53" t="str">
        <f>VLOOKUP(F29,[3]Sheet2!$C$10:$E$231,2,FALSE)</f>
        <v>06.1.01.03.08</v>
      </c>
      <c r="H29" s="57" t="str">
        <f>VLOOKUP(F29,[3]Sheet2!$C$10:$E$231,3,FALSE)</f>
        <v>Biaya Konsumsi Karyawan - TP</v>
      </c>
      <c r="I29" s="58" t="s">
        <v>423</v>
      </c>
      <c r="J29" s="59" t="s">
        <v>424</v>
      </c>
      <c r="K29" s="21"/>
      <c r="L29" s="21"/>
      <c r="M29" s="16"/>
    </row>
    <row r="30" spans="1:13" ht="17.100000000000001" customHeight="1">
      <c r="A30" s="17">
        <v>46058</v>
      </c>
      <c r="B30" s="55" t="s">
        <v>7</v>
      </c>
      <c r="C30" s="55">
        <v>25</v>
      </c>
      <c r="D30" s="18" t="s">
        <v>34</v>
      </c>
      <c r="E30" s="25">
        <v>120000</v>
      </c>
      <c r="F30" s="26" t="s">
        <v>19</v>
      </c>
      <c r="G30" s="53" t="str">
        <f>VLOOKUP(F30,[3]Sheet2!$C$10:$E$231,2,FALSE)</f>
        <v>06.1.01.03.08</v>
      </c>
      <c r="H30" s="57" t="str">
        <f>VLOOKUP(F30,[3]Sheet2!$C$10:$E$231,3,FALSE)</f>
        <v>Biaya Konsumsi Karyawan - TP</v>
      </c>
      <c r="I30" s="58" t="s">
        <v>423</v>
      </c>
      <c r="J30" s="59" t="s">
        <v>424</v>
      </c>
      <c r="K30" s="21"/>
      <c r="L30" s="21"/>
      <c r="M30" s="16"/>
    </row>
    <row r="31" spans="1:13" ht="17.100000000000001" customHeight="1">
      <c r="A31" s="17">
        <v>46058</v>
      </c>
      <c r="B31" s="55" t="s">
        <v>7</v>
      </c>
      <c r="C31" s="55">
        <v>26</v>
      </c>
      <c r="D31" s="18" t="s">
        <v>35</v>
      </c>
      <c r="E31" s="25">
        <v>104000</v>
      </c>
      <c r="F31" s="26" t="s">
        <v>19</v>
      </c>
      <c r="G31" s="53" t="str">
        <f>VLOOKUP(F31,[3]Sheet2!$C$10:$E$231,2,FALSE)</f>
        <v>06.1.01.03.08</v>
      </c>
      <c r="H31" s="57" t="str">
        <f>VLOOKUP(F31,[3]Sheet2!$C$10:$E$231,3,FALSE)</f>
        <v>Biaya Konsumsi Karyawan - TP</v>
      </c>
      <c r="I31" s="58" t="s">
        <v>423</v>
      </c>
      <c r="J31" s="59" t="s">
        <v>424</v>
      </c>
      <c r="K31" s="21"/>
      <c r="L31" s="21"/>
      <c r="M31" s="16"/>
    </row>
    <row r="32" spans="1:13" ht="17.100000000000001" customHeight="1">
      <c r="A32" s="17">
        <v>46058</v>
      </c>
      <c r="B32" s="55" t="s">
        <v>7</v>
      </c>
      <c r="C32" s="55">
        <v>27</v>
      </c>
      <c r="D32" s="18" t="s">
        <v>36</v>
      </c>
      <c r="E32" s="25">
        <v>208000</v>
      </c>
      <c r="F32" s="26" t="s">
        <v>19</v>
      </c>
      <c r="G32" s="53" t="str">
        <f>VLOOKUP(F32,[3]Sheet2!$C$10:$E$231,2,FALSE)</f>
        <v>06.1.01.03.08</v>
      </c>
      <c r="H32" s="57" t="str">
        <f>VLOOKUP(F32,[3]Sheet2!$C$10:$E$231,3,FALSE)</f>
        <v>Biaya Konsumsi Karyawan - TP</v>
      </c>
      <c r="I32" s="58" t="s">
        <v>423</v>
      </c>
      <c r="J32" s="59" t="s">
        <v>424</v>
      </c>
      <c r="K32" s="21"/>
      <c r="L32" s="21"/>
      <c r="M32" s="16"/>
    </row>
    <row r="33" spans="1:13" ht="17.100000000000001" customHeight="1">
      <c r="A33" s="17">
        <v>46058</v>
      </c>
      <c r="B33" s="55" t="s">
        <v>7</v>
      </c>
      <c r="C33" s="55">
        <v>28</v>
      </c>
      <c r="D33" s="18" t="s">
        <v>36</v>
      </c>
      <c r="E33" s="25">
        <v>520000</v>
      </c>
      <c r="F33" s="26" t="s">
        <v>19</v>
      </c>
      <c r="G33" s="53" t="str">
        <f>VLOOKUP(F33,[3]Sheet2!$C$10:$E$231,2,FALSE)</f>
        <v>06.1.01.03.08</v>
      </c>
      <c r="H33" s="57" t="str">
        <f>VLOOKUP(F33,[3]Sheet2!$C$10:$E$231,3,FALSE)</f>
        <v>Biaya Konsumsi Karyawan - TP</v>
      </c>
      <c r="I33" s="58" t="s">
        <v>423</v>
      </c>
      <c r="J33" s="59" t="s">
        <v>424</v>
      </c>
      <c r="K33" s="21"/>
      <c r="L33" s="21"/>
      <c r="M33" s="16"/>
    </row>
    <row r="34" spans="1:13" ht="17.100000000000001" customHeight="1">
      <c r="A34" s="17">
        <v>46058</v>
      </c>
      <c r="B34" s="55" t="s">
        <v>7</v>
      </c>
      <c r="C34" s="55">
        <v>29</v>
      </c>
      <c r="D34" s="18" t="s">
        <v>28</v>
      </c>
      <c r="E34" s="25">
        <v>192000</v>
      </c>
      <c r="F34" s="26" t="s">
        <v>19</v>
      </c>
      <c r="G34" s="53" t="str">
        <f>VLOOKUP(F34,[3]Sheet2!$C$10:$E$231,2,FALSE)</f>
        <v>06.1.01.03.08</v>
      </c>
      <c r="H34" s="57" t="str">
        <f>VLOOKUP(F34,[3]Sheet2!$C$10:$E$231,3,FALSE)</f>
        <v>Biaya Konsumsi Karyawan - TP</v>
      </c>
      <c r="I34" s="58" t="s">
        <v>423</v>
      </c>
      <c r="J34" s="59" t="s">
        <v>424</v>
      </c>
      <c r="K34" s="21"/>
      <c r="L34" s="21"/>
      <c r="M34" s="16"/>
    </row>
    <row r="35" spans="1:13" ht="17.100000000000001" customHeight="1">
      <c r="A35" s="17">
        <v>46058</v>
      </c>
      <c r="B35" s="55" t="s">
        <v>7</v>
      </c>
      <c r="C35" s="55">
        <v>30</v>
      </c>
      <c r="D35" s="18" t="s">
        <v>28</v>
      </c>
      <c r="E35" s="25">
        <v>480000</v>
      </c>
      <c r="F35" s="26" t="s">
        <v>19</v>
      </c>
      <c r="G35" s="53" t="str">
        <f>VLOOKUP(F35,[3]Sheet2!$C$10:$E$231,2,FALSE)</f>
        <v>06.1.01.03.08</v>
      </c>
      <c r="H35" s="57" t="str">
        <f>VLOOKUP(F35,[3]Sheet2!$C$10:$E$231,3,FALSE)</f>
        <v>Biaya Konsumsi Karyawan - TP</v>
      </c>
      <c r="I35" s="58" t="s">
        <v>423</v>
      </c>
      <c r="J35" s="59" t="s">
        <v>424</v>
      </c>
      <c r="K35" s="21"/>
      <c r="L35" s="21"/>
      <c r="M35" s="16"/>
    </row>
    <row r="36" spans="1:13" ht="17.100000000000001" customHeight="1">
      <c r="A36" s="17">
        <v>46058</v>
      </c>
      <c r="B36" s="55" t="s">
        <v>7</v>
      </c>
      <c r="C36" s="55">
        <v>31</v>
      </c>
      <c r="D36" s="18" t="s">
        <v>15</v>
      </c>
      <c r="E36" s="25">
        <v>2000</v>
      </c>
      <c r="F36" s="26" t="s">
        <v>9</v>
      </c>
      <c r="G36" s="53" t="str">
        <f>VLOOKUP(F36,[3]Sheet2!$C$10:$E$231,2,FALSE)</f>
        <v>06.1.01.05.02</v>
      </c>
      <c r="H36" s="57" t="str">
        <f>VLOOKUP(F36,[3]Sheet2!$C$10:$E$231,3,FALSE)</f>
        <v>Transport lokal dan parkir - TP</v>
      </c>
      <c r="I36" s="58" t="s">
        <v>423</v>
      </c>
      <c r="J36" s="59" t="s">
        <v>424</v>
      </c>
      <c r="K36" s="21"/>
      <c r="L36" s="21"/>
      <c r="M36" s="16"/>
    </row>
    <row r="37" spans="1:13" ht="17.100000000000001" customHeight="1">
      <c r="A37" s="17">
        <v>46058</v>
      </c>
      <c r="B37" s="55" t="s">
        <v>7</v>
      </c>
      <c r="C37" s="55">
        <v>32</v>
      </c>
      <c r="D37" s="18" t="s">
        <v>37</v>
      </c>
      <c r="E37" s="25">
        <v>500000</v>
      </c>
      <c r="F37" s="26" t="s">
        <v>23</v>
      </c>
      <c r="G37" s="53" t="str">
        <f>VLOOKUP(F37,[3]Sheet2!$C$10:$E$231,2,FALSE)</f>
        <v>06.1.01.03.06</v>
      </c>
      <c r="H37" s="57" t="str">
        <f>VLOOKUP(F37,[3]Sheet2!$C$10:$E$231,3,FALSE)</f>
        <v>Biaya  Barang Inventaris Kantor - TP</v>
      </c>
      <c r="I37" s="58" t="s">
        <v>423</v>
      </c>
      <c r="J37" s="59" t="s">
        <v>424</v>
      </c>
      <c r="K37" s="21"/>
      <c r="L37" s="21"/>
      <c r="M37" s="16"/>
    </row>
    <row r="38" spans="1:13" ht="17.100000000000001" customHeight="1">
      <c r="A38" s="17">
        <v>46058</v>
      </c>
      <c r="B38" s="55" t="s">
        <v>7</v>
      </c>
      <c r="C38" s="55">
        <v>33</v>
      </c>
      <c r="D38" s="18" t="s">
        <v>38</v>
      </c>
      <c r="E38" s="25">
        <v>2900</v>
      </c>
      <c r="F38" s="26" t="s">
        <v>39</v>
      </c>
      <c r="G38" s="53" t="str">
        <f>VLOOKUP(F38,[3]Sheet2!$C$10:$E$231,2,FALSE)</f>
        <v>06.1.01.02.17</v>
      </c>
      <c r="H38" s="57" t="str">
        <f>VLOOKUP(F38,[3]Sheet2!$C$10:$E$231,3,FALSE)</f>
        <v>Administrasi Bank, umum dan surat menyurat - TP</v>
      </c>
      <c r="I38" s="58" t="s">
        <v>423</v>
      </c>
      <c r="J38" s="59" t="s">
        <v>424</v>
      </c>
      <c r="K38" s="21"/>
      <c r="L38" s="21"/>
      <c r="M38" s="16"/>
    </row>
    <row r="39" spans="1:13" ht="17.100000000000001" customHeight="1">
      <c r="A39" s="17">
        <v>46058</v>
      </c>
      <c r="B39" s="55" t="s">
        <v>7</v>
      </c>
      <c r="C39" s="55">
        <v>34</v>
      </c>
      <c r="D39" s="18" t="s">
        <v>40</v>
      </c>
      <c r="E39" s="25">
        <v>300000</v>
      </c>
      <c r="F39" s="26" t="s">
        <v>41</v>
      </c>
      <c r="G39" s="53" t="str">
        <f>VLOOKUP(F39,[3]Sheet2!$C$10:$E$231,2,FALSE)</f>
        <v>06.1.01.05.01</v>
      </c>
      <c r="H39" s="57" t="str">
        <f>VLOOKUP(F39,[3]Sheet2!$C$10:$E$231,3,FALSE)</f>
        <v>Perjalanan dinas - TP</v>
      </c>
      <c r="I39" s="58" t="s">
        <v>423</v>
      </c>
      <c r="J39" s="59" t="s">
        <v>424</v>
      </c>
      <c r="K39" s="21"/>
      <c r="L39" s="21"/>
      <c r="M39" s="16"/>
    </row>
    <row r="40" spans="1:13" ht="17.100000000000001" customHeight="1">
      <c r="A40" s="17">
        <v>46058</v>
      </c>
      <c r="B40" s="55" t="s">
        <v>7</v>
      </c>
      <c r="C40" s="55">
        <v>35</v>
      </c>
      <c r="D40" s="18" t="s">
        <v>42</v>
      </c>
      <c r="E40" s="25">
        <v>250000</v>
      </c>
      <c r="F40" s="26" t="s">
        <v>41</v>
      </c>
      <c r="G40" s="53" t="str">
        <f>VLOOKUP(F40,[3]Sheet2!$C$10:$E$231,2,FALSE)</f>
        <v>06.1.01.05.01</v>
      </c>
      <c r="H40" s="57" t="str">
        <f>VLOOKUP(F40,[3]Sheet2!$C$10:$E$231,3,FALSE)</f>
        <v>Perjalanan dinas - TP</v>
      </c>
      <c r="I40" s="58" t="s">
        <v>423</v>
      </c>
      <c r="J40" s="59" t="s">
        <v>424</v>
      </c>
      <c r="K40" s="21"/>
      <c r="L40" s="21"/>
      <c r="M40" s="16"/>
    </row>
    <row r="41" spans="1:13" ht="17.100000000000001" customHeight="1">
      <c r="A41" s="17">
        <v>46058</v>
      </c>
      <c r="B41" s="55" t="s">
        <v>7</v>
      </c>
      <c r="C41" s="55">
        <v>36</v>
      </c>
      <c r="D41" s="18" t="s">
        <v>43</v>
      </c>
      <c r="E41" s="25">
        <v>300000</v>
      </c>
      <c r="F41" s="26" t="s">
        <v>41</v>
      </c>
      <c r="G41" s="53" t="str">
        <f>VLOOKUP(F41,[3]Sheet2!$C$10:$E$231,2,FALSE)</f>
        <v>06.1.01.05.01</v>
      </c>
      <c r="H41" s="57" t="str">
        <f>VLOOKUP(F41,[3]Sheet2!$C$10:$E$231,3,FALSE)</f>
        <v>Perjalanan dinas - TP</v>
      </c>
      <c r="I41" s="58" t="s">
        <v>423</v>
      </c>
      <c r="J41" s="59" t="s">
        <v>424</v>
      </c>
      <c r="K41" s="21"/>
      <c r="L41" s="21"/>
      <c r="M41" s="16"/>
    </row>
    <row r="42" spans="1:13" ht="17.100000000000001" customHeight="1">
      <c r="A42" s="17">
        <v>46058</v>
      </c>
      <c r="B42" s="55" t="s">
        <v>7</v>
      </c>
      <c r="C42" s="55">
        <v>37</v>
      </c>
      <c r="D42" s="18" t="s">
        <v>44</v>
      </c>
      <c r="E42" s="25">
        <v>472500</v>
      </c>
      <c r="F42" s="26" t="s">
        <v>41</v>
      </c>
      <c r="G42" s="53" t="str">
        <f>VLOOKUP(F42,[3]Sheet2!$C$10:$E$231,2,FALSE)</f>
        <v>06.1.01.05.01</v>
      </c>
      <c r="H42" s="57" t="str">
        <f>VLOOKUP(F42,[3]Sheet2!$C$10:$E$231,3,FALSE)</f>
        <v>Perjalanan dinas - TP</v>
      </c>
      <c r="I42" s="58" t="s">
        <v>423</v>
      </c>
      <c r="J42" s="59" t="s">
        <v>424</v>
      </c>
      <c r="K42" s="21"/>
      <c r="L42" s="21"/>
      <c r="M42" s="16"/>
    </row>
    <row r="43" spans="1:13" ht="17.100000000000001" customHeight="1">
      <c r="A43" s="17">
        <v>46058</v>
      </c>
      <c r="B43" s="55" t="s">
        <v>7</v>
      </c>
      <c r="C43" s="55">
        <v>38</v>
      </c>
      <c r="D43" s="18" t="s">
        <v>45</v>
      </c>
      <c r="E43" s="25">
        <v>50000</v>
      </c>
      <c r="F43" s="26" t="s">
        <v>41</v>
      </c>
      <c r="G43" s="53" t="str">
        <f>VLOOKUP(F43,[3]Sheet2!$C$10:$E$231,2,FALSE)</f>
        <v>06.1.01.05.01</v>
      </c>
      <c r="H43" s="57" t="str">
        <f>VLOOKUP(F43,[3]Sheet2!$C$10:$E$231,3,FALSE)</f>
        <v>Perjalanan dinas - TP</v>
      </c>
      <c r="I43" s="58" t="s">
        <v>423</v>
      </c>
      <c r="J43" s="59" t="s">
        <v>424</v>
      </c>
      <c r="K43" s="21"/>
      <c r="L43" s="21"/>
      <c r="M43" s="16"/>
    </row>
    <row r="44" spans="1:13" ht="17.100000000000001" customHeight="1">
      <c r="A44" s="17">
        <v>46058</v>
      </c>
      <c r="B44" s="55" t="s">
        <v>7</v>
      </c>
      <c r="C44" s="55">
        <v>39</v>
      </c>
      <c r="D44" s="18" t="s">
        <v>46</v>
      </c>
      <c r="E44" s="25">
        <v>176000</v>
      </c>
      <c r="F44" s="26" t="s">
        <v>19</v>
      </c>
      <c r="G44" s="53" t="str">
        <f>VLOOKUP(F44,[3]Sheet2!$C$10:$E$231,2,FALSE)</f>
        <v>06.1.01.03.08</v>
      </c>
      <c r="H44" s="57" t="str">
        <f>VLOOKUP(F44,[3]Sheet2!$C$10:$E$231,3,FALSE)</f>
        <v>Biaya Konsumsi Karyawan - TP</v>
      </c>
      <c r="I44" s="58" t="s">
        <v>423</v>
      </c>
      <c r="J44" s="59" t="s">
        <v>424</v>
      </c>
      <c r="K44" s="21"/>
      <c r="L44" s="21"/>
      <c r="M44" s="16"/>
    </row>
    <row r="45" spans="1:13" ht="17.100000000000001" customHeight="1">
      <c r="A45" s="17">
        <v>46058</v>
      </c>
      <c r="B45" s="55" t="s">
        <v>7</v>
      </c>
      <c r="C45" s="55">
        <v>40</v>
      </c>
      <c r="D45" s="18" t="s">
        <v>47</v>
      </c>
      <c r="E45" s="25">
        <v>37000</v>
      </c>
      <c r="F45" s="26" t="s">
        <v>19</v>
      </c>
      <c r="G45" s="53" t="str">
        <f>VLOOKUP(F45,[3]Sheet2!$C$10:$E$231,2,FALSE)</f>
        <v>06.1.01.03.08</v>
      </c>
      <c r="H45" s="57" t="str">
        <f>VLOOKUP(F45,[3]Sheet2!$C$10:$E$231,3,FALSE)</f>
        <v>Biaya Konsumsi Karyawan - TP</v>
      </c>
      <c r="I45" s="58" t="s">
        <v>423</v>
      </c>
      <c r="J45" s="59" t="s">
        <v>424</v>
      </c>
      <c r="K45" s="21"/>
      <c r="L45" s="21"/>
      <c r="M45" s="16"/>
    </row>
    <row r="46" spans="1:13" ht="17.100000000000001" customHeight="1">
      <c r="A46" s="17">
        <v>46058</v>
      </c>
      <c r="B46" s="55" t="s">
        <v>7</v>
      </c>
      <c r="C46" s="55">
        <v>41</v>
      </c>
      <c r="D46" s="18" t="s">
        <v>48</v>
      </c>
      <c r="E46" s="25">
        <v>22000</v>
      </c>
      <c r="F46" s="26" t="s">
        <v>19</v>
      </c>
      <c r="G46" s="53" t="str">
        <f>VLOOKUP(F46,[3]Sheet2!$C$10:$E$231,2,FALSE)</f>
        <v>06.1.01.03.08</v>
      </c>
      <c r="H46" s="57" t="str">
        <f>VLOOKUP(F46,[3]Sheet2!$C$10:$E$231,3,FALSE)</f>
        <v>Biaya Konsumsi Karyawan - TP</v>
      </c>
      <c r="I46" s="58" t="s">
        <v>423</v>
      </c>
      <c r="J46" s="59" t="s">
        <v>424</v>
      </c>
      <c r="K46" s="21"/>
      <c r="L46" s="21"/>
      <c r="M46" s="16"/>
    </row>
    <row r="47" spans="1:13" ht="17.100000000000001" customHeight="1">
      <c r="A47" s="17">
        <v>46058</v>
      </c>
      <c r="B47" s="55" t="s">
        <v>7</v>
      </c>
      <c r="C47" s="55">
        <v>42</v>
      </c>
      <c r="D47" s="18" t="s">
        <v>49</v>
      </c>
      <c r="E47" s="25">
        <v>354000</v>
      </c>
      <c r="F47" s="26" t="s">
        <v>50</v>
      </c>
      <c r="G47" s="53" t="str">
        <f>VLOOKUP(F47,[3]Sheet2!$C$10:$E$231,2,FALSE)</f>
        <v>06.1.01.06.05</v>
      </c>
      <c r="H47" s="57" t="str">
        <f>VLOOKUP(F47,[3]Sheet2!$C$10:$E$231,3,FALSE)</f>
        <v>Pembelian Bahan Bakar Minyak (BBM) - TP</v>
      </c>
      <c r="I47" s="58" t="s">
        <v>423</v>
      </c>
      <c r="J47" s="59" t="s">
        <v>424</v>
      </c>
      <c r="K47" s="21"/>
      <c r="L47" s="21"/>
      <c r="M47" s="16"/>
    </row>
    <row r="48" spans="1:13" ht="17.100000000000001" customHeight="1">
      <c r="A48" s="17">
        <v>46058</v>
      </c>
      <c r="B48" s="55" t="s">
        <v>7</v>
      </c>
      <c r="C48" s="55">
        <v>43</v>
      </c>
      <c r="D48" s="18" t="s">
        <v>51</v>
      </c>
      <c r="E48" s="25">
        <v>405000</v>
      </c>
      <c r="F48" s="26" t="s">
        <v>50</v>
      </c>
      <c r="G48" s="53" t="str">
        <f>VLOOKUP(F48,[3]Sheet2!$C$10:$E$231,2,FALSE)</f>
        <v>06.1.01.06.05</v>
      </c>
      <c r="H48" s="57" t="str">
        <f>VLOOKUP(F48,[3]Sheet2!$C$10:$E$231,3,FALSE)</f>
        <v>Pembelian Bahan Bakar Minyak (BBM) - TP</v>
      </c>
      <c r="I48" s="58" t="s">
        <v>423</v>
      </c>
      <c r="J48" s="59" t="s">
        <v>424</v>
      </c>
      <c r="K48" s="21"/>
      <c r="L48" s="21"/>
      <c r="M48" s="16"/>
    </row>
    <row r="49" spans="1:13" ht="34.5" customHeight="1">
      <c r="A49" s="17">
        <v>46058</v>
      </c>
      <c r="B49" s="55" t="s">
        <v>7</v>
      </c>
      <c r="C49" s="55">
        <v>44</v>
      </c>
      <c r="D49" s="27" t="s">
        <v>52</v>
      </c>
      <c r="E49" s="25">
        <v>125000</v>
      </c>
      <c r="F49" s="26" t="s">
        <v>41</v>
      </c>
      <c r="G49" s="53" t="str">
        <f>VLOOKUP(F49,[3]Sheet2!$C$10:$E$231,2,FALSE)</f>
        <v>06.1.01.05.01</v>
      </c>
      <c r="H49" s="57" t="str">
        <f>VLOOKUP(F49,[3]Sheet2!$C$10:$E$231,3,FALSE)</f>
        <v>Perjalanan dinas - TP</v>
      </c>
      <c r="I49" s="58" t="s">
        <v>423</v>
      </c>
      <c r="J49" s="59" t="s">
        <v>424</v>
      </c>
      <c r="K49" s="21"/>
      <c r="L49" s="21"/>
      <c r="M49" s="16"/>
    </row>
    <row r="50" spans="1:13" ht="32.25" customHeight="1">
      <c r="A50" s="17">
        <v>46058</v>
      </c>
      <c r="B50" s="55" t="s">
        <v>7</v>
      </c>
      <c r="C50" s="55">
        <v>45</v>
      </c>
      <c r="D50" s="27" t="s">
        <v>53</v>
      </c>
      <c r="E50" s="25">
        <v>50000</v>
      </c>
      <c r="F50" s="26" t="s">
        <v>41</v>
      </c>
      <c r="G50" s="53" t="str">
        <f>VLOOKUP(F50,[3]Sheet2!$C$10:$E$231,2,FALSE)</f>
        <v>06.1.01.05.01</v>
      </c>
      <c r="H50" s="57" t="str">
        <f>VLOOKUP(F50,[3]Sheet2!$C$10:$E$231,3,FALSE)</f>
        <v>Perjalanan dinas - TP</v>
      </c>
      <c r="I50" s="58" t="s">
        <v>423</v>
      </c>
      <c r="J50" s="59" t="s">
        <v>424</v>
      </c>
      <c r="K50" s="21"/>
      <c r="L50" s="21"/>
      <c r="M50" s="16"/>
    </row>
    <row r="51" spans="1:13" ht="31.5" customHeight="1">
      <c r="A51" s="17">
        <v>46058</v>
      </c>
      <c r="B51" s="55" t="s">
        <v>7</v>
      </c>
      <c r="C51" s="55">
        <v>46</v>
      </c>
      <c r="D51" s="28" t="s">
        <v>54</v>
      </c>
      <c r="E51" s="25">
        <v>413000</v>
      </c>
      <c r="F51" s="26" t="s">
        <v>50</v>
      </c>
      <c r="G51" s="53" t="str">
        <f>VLOOKUP(F51,[3]Sheet2!$C$10:$E$231,2,FALSE)</f>
        <v>06.1.01.06.05</v>
      </c>
      <c r="H51" s="57" t="str">
        <f>VLOOKUP(F51,[3]Sheet2!$C$10:$E$231,3,FALSE)</f>
        <v>Pembelian Bahan Bakar Minyak (BBM) - TP</v>
      </c>
      <c r="I51" s="58" t="s">
        <v>423</v>
      </c>
      <c r="J51" s="59" t="s">
        <v>424</v>
      </c>
      <c r="K51" s="21"/>
      <c r="L51" s="21"/>
      <c r="M51" s="16"/>
    </row>
    <row r="52" spans="1:13" ht="31.5" customHeight="1">
      <c r="A52" s="17">
        <v>46058</v>
      </c>
      <c r="B52" s="55" t="s">
        <v>7</v>
      </c>
      <c r="C52" s="55">
        <v>47</v>
      </c>
      <c r="D52" s="28" t="s">
        <v>55</v>
      </c>
      <c r="E52" s="25">
        <v>500000</v>
      </c>
      <c r="F52" s="26" t="s">
        <v>41</v>
      </c>
      <c r="G52" s="53" t="str">
        <f>VLOOKUP(F52,[3]Sheet2!$C$10:$E$231,2,FALSE)</f>
        <v>06.1.01.05.01</v>
      </c>
      <c r="H52" s="57" t="str">
        <f>VLOOKUP(F52,[3]Sheet2!$C$10:$E$231,3,FALSE)</f>
        <v>Perjalanan dinas - TP</v>
      </c>
      <c r="I52" s="58" t="s">
        <v>423</v>
      </c>
      <c r="J52" s="59" t="s">
        <v>424</v>
      </c>
      <c r="K52" s="21"/>
      <c r="L52" s="21"/>
      <c r="M52" s="16"/>
    </row>
    <row r="53" spans="1:13" ht="34.5" customHeight="1">
      <c r="A53" s="17">
        <v>46058</v>
      </c>
      <c r="B53" s="55" t="s">
        <v>7</v>
      </c>
      <c r="C53" s="55">
        <v>48</v>
      </c>
      <c r="D53" s="28" t="s">
        <v>56</v>
      </c>
      <c r="E53" s="25">
        <v>300000</v>
      </c>
      <c r="F53" s="26" t="s">
        <v>41</v>
      </c>
      <c r="G53" s="53" t="str">
        <f>VLOOKUP(F53,[3]Sheet2!$C$10:$E$231,2,FALSE)</f>
        <v>06.1.01.05.01</v>
      </c>
      <c r="H53" s="57" t="str">
        <f>VLOOKUP(F53,[3]Sheet2!$C$10:$E$231,3,FALSE)</f>
        <v>Perjalanan dinas - TP</v>
      </c>
      <c r="I53" s="58" t="s">
        <v>423</v>
      </c>
      <c r="J53" s="59" t="s">
        <v>424</v>
      </c>
      <c r="K53" s="21"/>
      <c r="L53" s="21"/>
      <c r="M53" s="16"/>
    </row>
    <row r="54" spans="1:13" ht="16.5" customHeight="1">
      <c r="A54" s="17">
        <v>46058</v>
      </c>
      <c r="B54" s="55" t="s">
        <v>7</v>
      </c>
      <c r="C54" s="55">
        <v>49</v>
      </c>
      <c r="D54" s="18" t="s">
        <v>57</v>
      </c>
      <c r="E54" s="25">
        <v>300000</v>
      </c>
      <c r="F54" s="26" t="s">
        <v>41</v>
      </c>
      <c r="G54" s="53" t="str">
        <f>VLOOKUP(F54,[3]Sheet2!$C$10:$E$231,2,FALSE)</f>
        <v>06.1.01.05.01</v>
      </c>
      <c r="H54" s="57" t="str">
        <f>VLOOKUP(F54,[3]Sheet2!$C$10:$E$231,3,FALSE)</f>
        <v>Perjalanan dinas - TP</v>
      </c>
      <c r="I54" s="58" t="s">
        <v>423</v>
      </c>
      <c r="J54" s="59" t="s">
        <v>424</v>
      </c>
      <c r="K54" s="21"/>
      <c r="L54" s="21"/>
      <c r="M54" s="16"/>
    </row>
    <row r="55" spans="1:13" ht="17.100000000000001" customHeight="1">
      <c r="A55" s="17">
        <v>46058</v>
      </c>
      <c r="B55" s="55" t="s">
        <v>7</v>
      </c>
      <c r="C55" s="55">
        <v>50</v>
      </c>
      <c r="D55" s="18" t="s">
        <v>58</v>
      </c>
      <c r="E55" s="25">
        <v>125000</v>
      </c>
      <c r="F55" s="26" t="s">
        <v>41</v>
      </c>
      <c r="G55" s="53" t="str">
        <f>VLOOKUP(F55,[3]Sheet2!$C$10:$E$231,2,FALSE)</f>
        <v>06.1.01.05.01</v>
      </c>
      <c r="H55" s="57" t="str">
        <f>VLOOKUP(F55,[3]Sheet2!$C$10:$E$231,3,FALSE)</f>
        <v>Perjalanan dinas - TP</v>
      </c>
      <c r="I55" s="58" t="s">
        <v>423</v>
      </c>
      <c r="J55" s="59" t="s">
        <v>424</v>
      </c>
      <c r="K55" s="21"/>
      <c r="L55" s="21"/>
      <c r="M55" s="16"/>
    </row>
    <row r="56" spans="1:13" ht="17.100000000000001" customHeight="1">
      <c r="A56" s="17">
        <v>46058</v>
      </c>
      <c r="B56" s="55" t="s">
        <v>7</v>
      </c>
      <c r="C56" s="55">
        <v>51</v>
      </c>
      <c r="D56" s="29" t="s">
        <v>59</v>
      </c>
      <c r="E56" s="25">
        <v>30000</v>
      </c>
      <c r="F56" s="26" t="s">
        <v>60</v>
      </c>
      <c r="G56" s="53" t="str">
        <f>VLOOKUP(F56,[3]Sheet2!$C$10:$E$231,2,FALSE)</f>
        <v>06.1.01.04.02</v>
      </c>
      <c r="H56" s="57" t="str">
        <f>VLOOKUP(F56,[3]Sheet2!$C$10:$E$231,3,FALSE)</f>
        <v>Pemeliharaan Perlengkapan Kantor, Laboratorium, Perpustakaan - TP</v>
      </c>
      <c r="I56" s="58" t="s">
        <v>423</v>
      </c>
      <c r="J56" s="59" t="s">
        <v>424</v>
      </c>
      <c r="K56" s="21"/>
      <c r="L56" s="21"/>
      <c r="M56" s="16"/>
    </row>
    <row r="57" spans="1:13" ht="17.100000000000001" customHeight="1">
      <c r="A57" s="17">
        <v>46058</v>
      </c>
      <c r="B57" s="55" t="s">
        <v>61</v>
      </c>
      <c r="C57" s="55">
        <v>52</v>
      </c>
      <c r="D57" s="29" t="s">
        <v>62</v>
      </c>
      <c r="E57" s="30">
        <f>17375200+8119000</f>
        <v>25494200</v>
      </c>
      <c r="F57" s="26" t="s">
        <v>63</v>
      </c>
      <c r="G57" s="53" t="str">
        <f>VLOOKUP(F57,[3]Sheet2!$C$10:$E$231,2,FALSE)</f>
        <v>06.1.01.01.09</v>
      </c>
      <c r="H57" s="57" t="str">
        <f>VLOOKUP(F57,[3]Sheet2!$C$10:$E$231,3,FALSE)</f>
        <v>Tunjangan BPJS Ketenagakerjaan - TP</v>
      </c>
      <c r="I57" s="58" t="s">
        <v>423</v>
      </c>
      <c r="J57" s="59" t="s">
        <v>424</v>
      </c>
      <c r="K57" s="21"/>
      <c r="L57" s="21"/>
      <c r="M57" s="16"/>
    </row>
    <row r="58" spans="1:13" ht="17.100000000000001" customHeight="1">
      <c r="A58" s="17">
        <v>46058</v>
      </c>
      <c r="B58" s="55" t="s">
        <v>61</v>
      </c>
      <c r="C58" s="55">
        <v>53</v>
      </c>
      <c r="D58" s="29" t="s">
        <v>64</v>
      </c>
      <c r="E58" s="30">
        <v>20252100</v>
      </c>
      <c r="F58" s="26" t="s">
        <v>65</v>
      </c>
      <c r="G58" s="53" t="str">
        <f>VLOOKUP(F58,[3]Sheet2!$C$10:$E$231,2,FALSE)</f>
        <v>06.1.01.01.10</v>
      </c>
      <c r="H58" s="57" t="str">
        <f>VLOOKUP(F58,[3]Sheet2!$C$10:$E$231,3,FALSE)</f>
        <v>Tunjangan BPJS Kesehatan - TP</v>
      </c>
      <c r="I58" s="58" t="s">
        <v>423</v>
      </c>
      <c r="J58" s="59" t="s">
        <v>424</v>
      </c>
      <c r="K58" s="21"/>
      <c r="L58" s="21"/>
      <c r="M58" s="16"/>
    </row>
    <row r="59" spans="1:13" ht="17.100000000000001" customHeight="1">
      <c r="A59" s="17">
        <v>46058</v>
      </c>
      <c r="B59" s="55" t="s">
        <v>66</v>
      </c>
      <c r="C59" s="55">
        <v>54</v>
      </c>
      <c r="D59" s="29" t="s">
        <v>67</v>
      </c>
      <c r="E59" s="30">
        <v>1890000</v>
      </c>
      <c r="F59" s="26" t="s">
        <v>68</v>
      </c>
      <c r="G59" s="53" t="str">
        <f>VLOOKUP(F59,[3]Sheet2!$C$10:$E$231,2,FALSE)</f>
        <v>06.1.01.04.05</v>
      </c>
      <c r="H59" s="57" t="str">
        <f>VLOOKUP(F59,[3]Sheet2!$C$10:$E$231,3,FALSE)</f>
        <v>Pemeliharaan AC - TP</v>
      </c>
      <c r="I59" s="58" t="s">
        <v>423</v>
      </c>
      <c r="J59" s="59" t="s">
        <v>424</v>
      </c>
      <c r="K59" s="21"/>
      <c r="L59" s="21"/>
      <c r="M59" s="16"/>
    </row>
    <row r="60" spans="1:13" ht="17.100000000000001" customHeight="1">
      <c r="A60" s="17">
        <v>46058</v>
      </c>
      <c r="B60" s="55" t="s">
        <v>69</v>
      </c>
      <c r="C60" s="55">
        <v>55</v>
      </c>
      <c r="D60" s="29" t="s">
        <v>70</v>
      </c>
      <c r="E60" s="30">
        <v>6441000</v>
      </c>
      <c r="F60" s="26" t="s">
        <v>71</v>
      </c>
      <c r="G60" s="53" t="str">
        <f>VLOOKUP(F60,[3]Sheet2!$C$10:$E$231,2,FALSE)</f>
        <v>06.1.01.03.11</v>
      </c>
      <c r="H60" s="57" t="str">
        <f>VLOOKUP(F60,[3]Sheet2!$C$10:$E$231,3,FALSE)</f>
        <v>Belanja Fotocopy, Jilid, Laminating dan Materai - TP</v>
      </c>
      <c r="I60" s="58" t="s">
        <v>423</v>
      </c>
      <c r="J60" s="59" t="s">
        <v>424</v>
      </c>
      <c r="K60" s="21"/>
      <c r="L60" s="21"/>
      <c r="M60" s="16"/>
    </row>
    <row r="61" spans="1:13" ht="17.100000000000001" customHeight="1">
      <c r="A61" s="17">
        <v>46058</v>
      </c>
      <c r="B61" s="55" t="s">
        <v>72</v>
      </c>
      <c r="C61" s="55">
        <v>56</v>
      </c>
      <c r="D61" s="29" t="s">
        <v>73</v>
      </c>
      <c r="E61" s="30">
        <v>2710000</v>
      </c>
      <c r="F61" s="26" t="s">
        <v>74</v>
      </c>
      <c r="G61" s="53" t="str">
        <f>VLOOKUP(F61,[3]Sheet2!$C$10:$E$231,2,FALSE)</f>
        <v>06.1.01.03.19</v>
      </c>
      <c r="H61" s="57" t="str">
        <f>VLOOKUP(F61,[3]Sheet2!$C$10:$E$231,3,FALSE)</f>
        <v>Jas Almamater, Batik Mahasiswa &amp; Jas Profesi - TP</v>
      </c>
      <c r="I61" s="58" t="s">
        <v>423</v>
      </c>
      <c r="J61" s="59" t="s">
        <v>424</v>
      </c>
      <c r="K61" s="21"/>
      <c r="L61" s="21"/>
      <c r="M61" s="16"/>
    </row>
    <row r="62" spans="1:13" ht="17.100000000000001" customHeight="1">
      <c r="A62" s="17">
        <v>46058</v>
      </c>
      <c r="B62" s="55" t="s">
        <v>75</v>
      </c>
      <c r="C62" s="55">
        <v>57</v>
      </c>
      <c r="D62" s="29" t="s">
        <v>76</v>
      </c>
      <c r="E62" s="30">
        <v>5857000</v>
      </c>
      <c r="F62" s="26" t="s">
        <v>77</v>
      </c>
      <c r="G62" s="53" t="str">
        <f>VLOOKUP(F62,[3]Sheet2!$C$10:$E$231,2,FALSE)</f>
        <v>06.1.02.03.03</v>
      </c>
      <c r="H62" s="57" t="str">
        <f>VLOOKUP(F62,[3]Sheet2!$C$10:$E$231,3,FALSE)</f>
        <v>Pencapaian Prestasi Mahasiswa - TP</v>
      </c>
      <c r="I62" s="58" t="s">
        <v>423</v>
      </c>
      <c r="J62" s="59" t="s">
        <v>424</v>
      </c>
      <c r="K62" s="21"/>
      <c r="L62" s="21"/>
      <c r="M62" s="16"/>
    </row>
    <row r="63" spans="1:13" ht="17.100000000000001" customHeight="1">
      <c r="A63" s="17">
        <v>46058</v>
      </c>
      <c r="B63" s="55" t="s">
        <v>78</v>
      </c>
      <c r="C63" s="55">
        <v>58</v>
      </c>
      <c r="D63" s="29" t="s">
        <v>79</v>
      </c>
      <c r="E63" s="30">
        <v>5041700</v>
      </c>
      <c r="F63" s="31" t="s">
        <v>80</v>
      </c>
      <c r="G63" s="53" t="s">
        <v>409</v>
      </c>
      <c r="H63" s="57" t="s">
        <v>410</v>
      </c>
      <c r="I63" s="58" t="s">
        <v>423</v>
      </c>
      <c r="J63" s="59" t="s">
        <v>424</v>
      </c>
      <c r="K63" s="21"/>
      <c r="L63" s="21"/>
      <c r="M63" s="16"/>
    </row>
    <row r="64" spans="1:13" ht="17.100000000000001" customHeight="1">
      <c r="A64" s="17">
        <v>46058</v>
      </c>
      <c r="B64" s="55" t="s">
        <v>78</v>
      </c>
      <c r="C64" s="55">
        <v>59</v>
      </c>
      <c r="D64" s="29" t="s">
        <v>81</v>
      </c>
      <c r="E64" s="30">
        <v>2461200</v>
      </c>
      <c r="F64" s="26" t="s">
        <v>82</v>
      </c>
      <c r="G64" s="53" t="str">
        <f>VLOOKUP(F64,[3]Sheet2!$C$10:$E$231,2,FALSE)</f>
        <v>06.1.02.07.19</v>
      </c>
      <c r="H64" s="57" t="str">
        <f>VLOOKUP(F64,[3]Sheet2!$C$10:$E$231,3,FALSE)</f>
        <v>Praktek Klinik Profesi Apoteker PSPPA - TP</v>
      </c>
      <c r="I64" s="58" t="s">
        <v>423</v>
      </c>
      <c r="J64" s="59" t="s">
        <v>424</v>
      </c>
      <c r="K64" s="21"/>
      <c r="L64" s="21"/>
      <c r="M64" s="16"/>
    </row>
    <row r="65" spans="1:13" ht="17.100000000000001" customHeight="1">
      <c r="A65" s="17">
        <v>46058</v>
      </c>
      <c r="B65" s="55" t="s">
        <v>83</v>
      </c>
      <c r="C65" s="55">
        <v>60</v>
      </c>
      <c r="D65" s="29" t="s">
        <v>84</v>
      </c>
      <c r="E65" s="30">
        <v>10000000</v>
      </c>
      <c r="F65" s="26" t="s">
        <v>77</v>
      </c>
      <c r="G65" s="53" t="str">
        <f>VLOOKUP(F65,[3]Sheet2!$C$10:$E$231,2,FALSE)</f>
        <v>06.1.02.03.03</v>
      </c>
      <c r="H65" s="57" t="str">
        <f>VLOOKUP(F65,[3]Sheet2!$C$10:$E$231,3,FALSE)</f>
        <v>Pencapaian Prestasi Mahasiswa - TP</v>
      </c>
      <c r="I65" s="58" t="s">
        <v>423</v>
      </c>
      <c r="J65" s="59" t="s">
        <v>424</v>
      </c>
      <c r="K65" s="21"/>
      <c r="L65" s="21"/>
      <c r="M65" s="16"/>
    </row>
    <row r="66" spans="1:13" ht="17.100000000000001" customHeight="1">
      <c r="A66" s="17">
        <v>46058</v>
      </c>
      <c r="B66" s="55" t="s">
        <v>85</v>
      </c>
      <c r="C66" s="55">
        <v>61</v>
      </c>
      <c r="D66" s="29" t="s">
        <v>86</v>
      </c>
      <c r="E66" s="30">
        <v>3867300</v>
      </c>
      <c r="F66" s="26" t="s">
        <v>87</v>
      </c>
      <c r="G66" s="53" t="str">
        <f>VLOOKUP(F66,[3]Sheet2!$C$10:$E$231,2,FALSE)</f>
        <v>06.1.02.03.07</v>
      </c>
      <c r="H66" s="57" t="str">
        <f>VLOOKUP(F66,[3]Sheet2!$C$10:$E$231,3,FALSE)</f>
        <v>Jaminan Pemeliharaan Kesehatan Masyarakat (JPKM) - TP</v>
      </c>
      <c r="I66" s="58" t="s">
        <v>423</v>
      </c>
      <c r="J66" s="59" t="s">
        <v>424</v>
      </c>
      <c r="K66" s="21"/>
      <c r="L66" s="21"/>
      <c r="M66" s="16"/>
    </row>
    <row r="67" spans="1:13" ht="17.100000000000001" customHeight="1">
      <c r="A67" s="17">
        <v>46058</v>
      </c>
      <c r="B67" s="55" t="s">
        <v>88</v>
      </c>
      <c r="C67" s="55">
        <v>62</v>
      </c>
      <c r="D67" s="29" t="s">
        <v>89</v>
      </c>
      <c r="E67" s="30">
        <v>33587250</v>
      </c>
      <c r="F67" s="26" t="s">
        <v>90</v>
      </c>
      <c r="G67" s="53" t="str">
        <f>VLOOKUP(F67,[3]Sheet2!$C$10:$E$231,2,FALSE)</f>
        <v>06.1.02.08.41</v>
      </c>
      <c r="H67" s="57" t="str">
        <f>VLOOKUP(F67,[3]Sheet2!$C$10:$E$231,3,FALSE)</f>
        <v>Praktek Kerja Lapangan 2 Program Studi Analis Kesehatan - TP</v>
      </c>
      <c r="I67" s="58" t="s">
        <v>423</v>
      </c>
      <c r="J67" s="59" t="s">
        <v>424</v>
      </c>
      <c r="K67" s="21"/>
      <c r="L67" s="21"/>
      <c r="M67" s="16"/>
    </row>
    <row r="68" spans="1:13" ht="17.100000000000001" customHeight="1">
      <c r="A68" s="17">
        <v>46058</v>
      </c>
      <c r="B68" s="55" t="s">
        <v>91</v>
      </c>
      <c r="C68" s="55">
        <v>63</v>
      </c>
      <c r="D68" s="29" t="s">
        <v>92</v>
      </c>
      <c r="E68" s="30">
        <v>4650000</v>
      </c>
      <c r="F68" s="26" t="s">
        <v>93</v>
      </c>
      <c r="G68" s="53" t="str">
        <f>VLOOKUP(F68,[3]Sheet2!$C$10:$E$231,2,FALSE)</f>
        <v>06.1.02.03.09</v>
      </c>
      <c r="H68" s="57" t="str">
        <f>VLOOKUP(F68,[3]Sheet2!$C$10:$E$231,3,FALSE)</f>
        <v>Pengenalan Kehidupan Kampus bagi Mahasiswa Baru (PKKMB)  - TP</v>
      </c>
      <c r="I68" s="58" t="s">
        <v>423</v>
      </c>
      <c r="J68" s="59" t="s">
        <v>424</v>
      </c>
      <c r="K68" s="21"/>
      <c r="L68" s="21"/>
      <c r="M68" s="16"/>
    </row>
    <row r="69" spans="1:13" ht="17.100000000000001" customHeight="1">
      <c r="A69" s="17">
        <v>46058</v>
      </c>
      <c r="B69" s="55" t="s">
        <v>94</v>
      </c>
      <c r="C69" s="55">
        <v>64</v>
      </c>
      <c r="D69" s="29" t="s">
        <v>95</v>
      </c>
      <c r="E69" s="30">
        <v>2000000</v>
      </c>
      <c r="F69" s="26" t="s">
        <v>19</v>
      </c>
      <c r="G69" s="53" t="str">
        <f>VLOOKUP(F69,[3]Sheet2!$C$10:$E$231,2,FALSE)</f>
        <v>06.1.01.03.08</v>
      </c>
      <c r="H69" s="57" t="str">
        <f>VLOOKUP(F69,[3]Sheet2!$C$10:$E$231,3,FALSE)</f>
        <v>Biaya Konsumsi Karyawan - TP</v>
      </c>
      <c r="I69" s="58" t="s">
        <v>423</v>
      </c>
      <c r="J69" s="59" t="s">
        <v>424</v>
      </c>
      <c r="K69" s="21"/>
      <c r="L69" s="21"/>
      <c r="M69" s="16"/>
    </row>
    <row r="70" spans="1:13" ht="17.100000000000001" customHeight="1">
      <c r="A70" s="17">
        <v>46058</v>
      </c>
      <c r="B70" s="55" t="s">
        <v>96</v>
      </c>
      <c r="C70" s="55">
        <v>65</v>
      </c>
      <c r="D70" s="29" t="s">
        <v>97</v>
      </c>
      <c r="E70" s="30">
        <v>22642401</v>
      </c>
      <c r="F70" s="26" t="s">
        <v>77</v>
      </c>
      <c r="G70" s="53" t="str">
        <f>VLOOKUP(F70,[3]Sheet2!$C$10:$E$231,2,FALSE)</f>
        <v>06.1.02.03.03</v>
      </c>
      <c r="H70" s="57" t="str">
        <f>VLOOKUP(F70,[3]Sheet2!$C$10:$E$231,3,FALSE)</f>
        <v>Pencapaian Prestasi Mahasiswa - TP</v>
      </c>
      <c r="I70" s="58" t="s">
        <v>423</v>
      </c>
      <c r="J70" s="59" t="s">
        <v>424</v>
      </c>
      <c r="K70" s="21"/>
      <c r="L70" s="21"/>
      <c r="M70" s="16"/>
    </row>
    <row r="71" spans="1:13" ht="17.100000000000001" customHeight="1">
      <c r="A71" s="17">
        <v>46058</v>
      </c>
      <c r="B71" s="55" t="s">
        <v>98</v>
      </c>
      <c r="C71" s="55">
        <v>66</v>
      </c>
      <c r="D71" s="29" t="s">
        <v>81</v>
      </c>
      <c r="E71" s="30">
        <v>2002900</v>
      </c>
      <c r="F71" s="26" t="s">
        <v>82</v>
      </c>
      <c r="G71" s="53" t="str">
        <f>VLOOKUP(F71,[3]Sheet2!$C$10:$E$231,2,FALSE)</f>
        <v>06.1.02.07.19</v>
      </c>
      <c r="H71" s="57" t="str">
        <f>VLOOKUP(F71,[3]Sheet2!$C$10:$E$231,3,FALSE)</f>
        <v>Praktek Klinik Profesi Apoteker PSPPA - TP</v>
      </c>
      <c r="I71" s="58" t="s">
        <v>423</v>
      </c>
      <c r="J71" s="59" t="s">
        <v>424</v>
      </c>
      <c r="K71" s="21"/>
      <c r="L71" s="21"/>
      <c r="M71" s="16"/>
    </row>
    <row r="72" spans="1:13" ht="17.100000000000001" customHeight="1">
      <c r="A72" s="17">
        <v>46065</v>
      </c>
      <c r="B72" s="55" t="s">
        <v>99</v>
      </c>
      <c r="C72" s="55">
        <v>67</v>
      </c>
      <c r="D72" s="29" t="s">
        <v>100</v>
      </c>
      <c r="E72" s="32">
        <v>2075000</v>
      </c>
      <c r="F72" s="26" t="s">
        <v>77</v>
      </c>
      <c r="G72" s="53" t="str">
        <f>VLOOKUP(F72,[3]Sheet2!$C$10:$E$231,2,FALSE)</f>
        <v>06.1.02.03.03</v>
      </c>
      <c r="H72" s="57" t="str">
        <f>VLOOKUP(F72,[3]Sheet2!$C$10:$E$231,3,FALSE)</f>
        <v>Pencapaian Prestasi Mahasiswa - TP</v>
      </c>
      <c r="I72" s="58" t="s">
        <v>423</v>
      </c>
      <c r="J72" s="59" t="s">
        <v>424</v>
      </c>
      <c r="K72" s="21"/>
      <c r="L72" s="21"/>
      <c r="M72" s="16"/>
    </row>
    <row r="73" spans="1:13" ht="17.100000000000001" customHeight="1">
      <c r="A73" s="17">
        <v>46065</v>
      </c>
      <c r="B73" s="55" t="s">
        <v>101</v>
      </c>
      <c r="C73" s="55">
        <v>68</v>
      </c>
      <c r="D73" s="29" t="s">
        <v>102</v>
      </c>
      <c r="E73" s="32">
        <v>2400000</v>
      </c>
      <c r="F73" s="26" t="s">
        <v>77</v>
      </c>
      <c r="G73" s="53" t="str">
        <f>VLOOKUP(F73,[3]Sheet2!$C$10:$E$231,2,FALSE)</f>
        <v>06.1.02.03.03</v>
      </c>
      <c r="H73" s="57" t="str">
        <f>VLOOKUP(F73,[3]Sheet2!$C$10:$E$231,3,FALSE)</f>
        <v>Pencapaian Prestasi Mahasiswa - TP</v>
      </c>
      <c r="I73" s="58" t="s">
        <v>423</v>
      </c>
      <c r="J73" s="59" t="s">
        <v>424</v>
      </c>
      <c r="K73" s="21"/>
      <c r="L73" s="21"/>
      <c r="M73" s="16"/>
    </row>
    <row r="74" spans="1:13" ht="17.100000000000001" customHeight="1">
      <c r="A74" s="17">
        <v>46065</v>
      </c>
      <c r="B74" s="55" t="s">
        <v>103</v>
      </c>
      <c r="C74" s="55">
        <v>69</v>
      </c>
      <c r="D74" s="29" t="s">
        <v>104</v>
      </c>
      <c r="E74" s="32">
        <v>350000</v>
      </c>
      <c r="F74" s="26" t="s">
        <v>77</v>
      </c>
      <c r="G74" s="53" t="str">
        <f>VLOOKUP(F74,[3]Sheet2!$C$10:$E$231,2,FALSE)</f>
        <v>06.1.02.03.03</v>
      </c>
      <c r="H74" s="57" t="str">
        <f>VLOOKUP(F74,[3]Sheet2!$C$10:$E$231,3,FALSE)</f>
        <v>Pencapaian Prestasi Mahasiswa - TP</v>
      </c>
      <c r="I74" s="58" t="s">
        <v>423</v>
      </c>
      <c r="J74" s="59" t="s">
        <v>424</v>
      </c>
      <c r="K74" s="21"/>
      <c r="L74" s="21"/>
      <c r="M74" s="16"/>
    </row>
    <row r="75" spans="1:13" ht="17.100000000000001" customHeight="1">
      <c r="A75" s="17">
        <v>46065</v>
      </c>
      <c r="B75" s="55" t="s">
        <v>105</v>
      </c>
      <c r="C75" s="55">
        <v>70</v>
      </c>
      <c r="D75" s="29" t="s">
        <v>106</v>
      </c>
      <c r="E75" s="32">
        <v>1973000</v>
      </c>
      <c r="F75" s="26" t="s">
        <v>77</v>
      </c>
      <c r="G75" s="53" t="str">
        <f>VLOOKUP(F75,[3]Sheet2!$C$10:$E$231,2,FALSE)</f>
        <v>06.1.02.03.03</v>
      </c>
      <c r="H75" s="57" t="str">
        <f>VLOOKUP(F75,[3]Sheet2!$C$10:$E$231,3,FALSE)</f>
        <v>Pencapaian Prestasi Mahasiswa - TP</v>
      </c>
      <c r="I75" s="58" t="s">
        <v>423</v>
      </c>
      <c r="J75" s="59" t="s">
        <v>424</v>
      </c>
      <c r="K75" s="21"/>
      <c r="L75" s="21"/>
      <c r="M75" s="16"/>
    </row>
    <row r="76" spans="1:13" ht="17.100000000000001" customHeight="1">
      <c r="A76" s="17">
        <v>46065</v>
      </c>
      <c r="B76" s="55" t="s">
        <v>107</v>
      </c>
      <c r="C76" s="55">
        <v>71</v>
      </c>
      <c r="D76" s="29" t="s">
        <v>108</v>
      </c>
      <c r="E76" s="32">
        <v>1845000</v>
      </c>
      <c r="F76" s="26" t="s">
        <v>77</v>
      </c>
      <c r="G76" s="53" t="str">
        <f>VLOOKUP(F76,[3]Sheet2!$C$10:$E$231,2,FALSE)</f>
        <v>06.1.02.03.03</v>
      </c>
      <c r="H76" s="57" t="str">
        <f>VLOOKUP(F76,[3]Sheet2!$C$10:$E$231,3,FALSE)</f>
        <v>Pencapaian Prestasi Mahasiswa - TP</v>
      </c>
      <c r="I76" s="58" t="s">
        <v>423</v>
      </c>
      <c r="J76" s="59" t="s">
        <v>424</v>
      </c>
      <c r="K76" s="21"/>
      <c r="L76" s="21"/>
      <c r="M76" s="16"/>
    </row>
    <row r="77" spans="1:13" ht="17.100000000000001" customHeight="1">
      <c r="A77" s="17">
        <v>46065</v>
      </c>
      <c r="B77" s="55" t="s">
        <v>109</v>
      </c>
      <c r="C77" s="55">
        <v>72</v>
      </c>
      <c r="D77" s="29" t="s">
        <v>110</v>
      </c>
      <c r="E77" s="32">
        <v>3470000</v>
      </c>
      <c r="F77" s="26" t="s">
        <v>111</v>
      </c>
      <c r="G77" s="53" t="str">
        <f>VLOOKUP(F77,[3]Sheet2!$C$10:$E$231,2,FALSE)</f>
        <v>06.1.01.03.17</v>
      </c>
      <c r="H77" s="57" t="str">
        <f>VLOOKUP(F77,[3]Sheet2!$C$10:$E$231,3,FALSE)</f>
        <v>Pengadaan Alat dan Bahan Praktikum Laboratorium - TP</v>
      </c>
      <c r="I77" s="58" t="s">
        <v>423</v>
      </c>
      <c r="J77" s="59" t="s">
        <v>424</v>
      </c>
      <c r="K77" s="21"/>
      <c r="L77" s="21"/>
      <c r="M77" s="16"/>
    </row>
    <row r="78" spans="1:13" ht="17.100000000000001" customHeight="1">
      <c r="A78" s="17">
        <v>46065</v>
      </c>
      <c r="B78" s="55" t="s">
        <v>112</v>
      </c>
      <c r="C78" s="55">
        <v>73</v>
      </c>
      <c r="D78" s="29" t="s">
        <v>113</v>
      </c>
      <c r="E78" s="32">
        <v>3100000</v>
      </c>
      <c r="F78" s="26" t="s">
        <v>114</v>
      </c>
      <c r="G78" s="53" t="str">
        <f>VLOOKUP(F78,[3]Sheet2!$C$10:$E$231,2,FALSE)</f>
        <v>06.1.01.04.02</v>
      </c>
      <c r="H78" s="57" t="str">
        <f>VLOOKUP(F78,[3]Sheet2!$C$10:$E$231,3,FALSE)</f>
        <v>Pemeliharaan Perlengkapan Kantor, Laboratorium, Perpustakaan - TP</v>
      </c>
      <c r="I78" s="58" t="s">
        <v>423</v>
      </c>
      <c r="J78" s="59" t="s">
        <v>424</v>
      </c>
      <c r="K78" s="21"/>
      <c r="L78" s="21"/>
      <c r="M78" s="16"/>
    </row>
    <row r="79" spans="1:13" ht="17.100000000000001" customHeight="1">
      <c r="A79" s="17">
        <v>46065</v>
      </c>
      <c r="B79" s="55" t="s">
        <v>115</v>
      </c>
      <c r="C79" s="55">
        <v>74</v>
      </c>
      <c r="D79" s="29" t="s">
        <v>116</v>
      </c>
      <c r="E79" s="32">
        <v>96000000</v>
      </c>
      <c r="F79" s="26"/>
      <c r="G79" s="53" t="s">
        <v>411</v>
      </c>
      <c r="H79" s="57" t="s">
        <v>412</v>
      </c>
      <c r="I79" s="58" t="s">
        <v>423</v>
      </c>
      <c r="J79" s="59" t="s">
        <v>424</v>
      </c>
      <c r="K79" s="21"/>
      <c r="L79" s="21"/>
      <c r="M79" s="16"/>
    </row>
    <row r="80" spans="1:13" ht="17.100000000000001" customHeight="1">
      <c r="A80" s="17">
        <v>46065</v>
      </c>
      <c r="B80" s="55" t="s">
        <v>117</v>
      </c>
      <c r="C80" s="55">
        <v>75</v>
      </c>
      <c r="D80" s="29" t="s">
        <v>118</v>
      </c>
      <c r="E80" s="32">
        <v>12958000</v>
      </c>
      <c r="F80" s="26" t="s">
        <v>119</v>
      </c>
      <c r="G80" s="53" t="str">
        <f>VLOOKUP(F80,[3]Sheet2!$C$10:$E$231,2,FALSE)</f>
        <v>06.1.02.07.06</v>
      </c>
      <c r="H80" s="57" t="str">
        <f>VLOOKUP(F80,[3]Sheet2!$C$10:$E$231,3,FALSE)</f>
        <v>Honor UTS dan UAS Teori, Praktikum dan Klinik Program Studi Farmasi - TP</v>
      </c>
      <c r="I80" s="58" t="s">
        <v>423</v>
      </c>
      <c r="J80" s="59" t="s">
        <v>424</v>
      </c>
      <c r="K80" s="21"/>
      <c r="L80" s="21"/>
      <c r="M80" s="16"/>
    </row>
    <row r="81" spans="1:13" ht="17.100000000000001" customHeight="1">
      <c r="A81" s="17">
        <v>46065</v>
      </c>
      <c r="B81" s="55" t="s">
        <v>120</v>
      </c>
      <c r="C81" s="55">
        <v>76</v>
      </c>
      <c r="D81" s="29" t="s">
        <v>121</v>
      </c>
      <c r="E81" s="32">
        <v>2850000</v>
      </c>
      <c r="F81" s="26" t="s">
        <v>23</v>
      </c>
      <c r="G81" s="53" t="str">
        <f>VLOOKUP(F81,[3]Sheet2!$C$10:$E$231,2,FALSE)</f>
        <v>06.1.01.03.06</v>
      </c>
      <c r="H81" s="57" t="str">
        <f>VLOOKUP(F81,[3]Sheet2!$C$10:$E$231,3,FALSE)</f>
        <v>Biaya  Barang Inventaris Kantor - TP</v>
      </c>
      <c r="I81" s="58" t="s">
        <v>423</v>
      </c>
      <c r="J81" s="59" t="s">
        <v>424</v>
      </c>
      <c r="K81" s="21"/>
      <c r="L81" s="21"/>
      <c r="M81" s="16"/>
    </row>
    <row r="82" spans="1:13" ht="17.100000000000001" customHeight="1">
      <c r="A82" s="17">
        <v>46065</v>
      </c>
      <c r="B82" s="55" t="s">
        <v>122</v>
      </c>
      <c r="C82" s="55">
        <v>77</v>
      </c>
      <c r="D82" s="29" t="s">
        <v>123</v>
      </c>
      <c r="E82" s="32">
        <v>6280000</v>
      </c>
      <c r="F82" s="26" t="s">
        <v>74</v>
      </c>
      <c r="G82" s="53" t="str">
        <f>VLOOKUP(F82,[3]Sheet2!$C$10:$E$231,2,FALSE)</f>
        <v>06.1.01.03.19</v>
      </c>
      <c r="H82" s="57" t="str">
        <f>VLOOKUP(F82,[3]Sheet2!$C$10:$E$231,3,FALSE)</f>
        <v>Jas Almamater, Batik Mahasiswa &amp; Jas Profesi - TP</v>
      </c>
      <c r="I82" s="58" t="s">
        <v>423</v>
      </c>
      <c r="J82" s="59" t="s">
        <v>424</v>
      </c>
      <c r="K82" s="21"/>
      <c r="L82" s="21"/>
      <c r="M82" s="16"/>
    </row>
    <row r="83" spans="1:13" ht="17.100000000000001" customHeight="1">
      <c r="A83" s="17">
        <v>46065</v>
      </c>
      <c r="B83" s="55" t="s">
        <v>124</v>
      </c>
      <c r="C83" s="55">
        <v>78</v>
      </c>
      <c r="D83" s="29" t="s">
        <v>125</v>
      </c>
      <c r="E83" s="32">
        <v>5250000</v>
      </c>
      <c r="F83" s="26" t="s">
        <v>126</v>
      </c>
      <c r="G83" s="53" t="str">
        <f>VLOOKUP(F83,[3]Sheet2!$C$10:$E$231,2,FALSE)</f>
        <v>06.1.02.05.01</v>
      </c>
      <c r="H83" s="57" t="str">
        <f>VLOOKUP(F83,[3]Sheet2!$C$10:$E$231,3,FALSE)</f>
        <v>Audit Internal  - TP</v>
      </c>
      <c r="I83" s="58" t="s">
        <v>423</v>
      </c>
      <c r="J83" s="59" t="s">
        <v>424</v>
      </c>
      <c r="K83" s="21"/>
      <c r="L83" s="21"/>
      <c r="M83" s="16"/>
    </row>
    <row r="84" spans="1:13" ht="17.100000000000001" customHeight="1">
      <c r="A84" s="17">
        <v>46065</v>
      </c>
      <c r="B84" s="55" t="s">
        <v>127</v>
      </c>
      <c r="C84" s="55">
        <v>79</v>
      </c>
      <c r="D84" s="29" t="s">
        <v>128</v>
      </c>
      <c r="E84" s="32">
        <v>3050000</v>
      </c>
      <c r="F84" s="26" t="s">
        <v>129</v>
      </c>
      <c r="G84" s="53" t="str">
        <f>VLOOKUP(F84,[3]Sheet2!$C$10:$E$231,2,FALSE)</f>
        <v>06.1.02.07.30</v>
      </c>
      <c r="H84" s="57" t="str">
        <f>VLOOKUP(F84,[3]Sheet2!$C$10:$E$231,3,FALSE)</f>
        <v>Workhsop Kurikulum OBE</v>
      </c>
      <c r="I84" s="58" t="s">
        <v>423</v>
      </c>
      <c r="J84" s="59" t="s">
        <v>424</v>
      </c>
      <c r="K84" s="21"/>
      <c r="L84" s="21"/>
      <c r="M84" s="16"/>
    </row>
    <row r="85" spans="1:13" ht="17.100000000000001" customHeight="1">
      <c r="A85" s="17">
        <v>46065</v>
      </c>
      <c r="B85" s="55" t="s">
        <v>130</v>
      </c>
      <c r="C85" s="55">
        <v>80</v>
      </c>
      <c r="D85" s="29" t="s">
        <v>131</v>
      </c>
      <c r="E85" s="32">
        <v>9500000</v>
      </c>
      <c r="F85" s="31" t="s">
        <v>132</v>
      </c>
      <c r="G85" s="53" t="s">
        <v>413</v>
      </c>
      <c r="H85" s="57" t="s">
        <v>414</v>
      </c>
      <c r="I85" s="58" t="s">
        <v>423</v>
      </c>
      <c r="J85" s="59" t="s">
        <v>424</v>
      </c>
      <c r="K85" s="21"/>
      <c r="L85" s="21"/>
      <c r="M85" s="16"/>
    </row>
    <row r="86" spans="1:13" ht="17.100000000000001" customHeight="1">
      <c r="A86" s="17">
        <v>46071</v>
      </c>
      <c r="B86" s="55" t="s">
        <v>133</v>
      </c>
      <c r="C86" s="55">
        <v>81</v>
      </c>
      <c r="D86" s="29" t="s">
        <v>134</v>
      </c>
      <c r="E86" s="32">
        <v>1587000</v>
      </c>
      <c r="F86" s="31" t="s">
        <v>71</v>
      </c>
      <c r="G86" s="53" t="str">
        <f>VLOOKUP(F86,[3]Sheet2!$C$10:$E$231,2,FALSE)</f>
        <v>06.1.01.03.11</v>
      </c>
      <c r="H86" s="57" t="str">
        <f>VLOOKUP(F86,[3]Sheet2!$C$10:$E$231,3,FALSE)</f>
        <v>Belanja Fotocopy, Jilid, Laminating dan Materai - TP</v>
      </c>
      <c r="I86" s="58" t="s">
        <v>423</v>
      </c>
      <c r="J86" s="59" t="s">
        <v>424</v>
      </c>
      <c r="K86" s="21"/>
      <c r="L86" s="21"/>
      <c r="M86" s="16"/>
    </row>
    <row r="87" spans="1:13" ht="17.100000000000001" customHeight="1">
      <c r="A87" s="17">
        <v>46071</v>
      </c>
      <c r="B87" s="55" t="s">
        <v>133</v>
      </c>
      <c r="C87" s="55">
        <v>82</v>
      </c>
      <c r="D87" s="29" t="s">
        <v>135</v>
      </c>
      <c r="E87" s="32">
        <v>2300000</v>
      </c>
      <c r="F87" s="31" t="s">
        <v>23</v>
      </c>
      <c r="G87" s="53" t="str">
        <f>VLOOKUP(F87,[3]Sheet2!$C$10:$E$231,2,FALSE)</f>
        <v>06.1.01.03.06</v>
      </c>
      <c r="H87" s="57" t="str">
        <f>VLOOKUP(F87,[3]Sheet2!$C$10:$E$231,3,FALSE)</f>
        <v>Biaya  Barang Inventaris Kantor - TP</v>
      </c>
      <c r="I87" s="58" t="s">
        <v>423</v>
      </c>
      <c r="J87" s="59" t="s">
        <v>424</v>
      </c>
      <c r="K87" s="21"/>
      <c r="L87" s="21"/>
      <c r="M87" s="16"/>
    </row>
    <row r="88" spans="1:13" ht="17.100000000000001" customHeight="1">
      <c r="A88" s="17">
        <v>46071</v>
      </c>
      <c r="B88" s="55" t="s">
        <v>136</v>
      </c>
      <c r="C88" s="55">
        <v>83</v>
      </c>
      <c r="D88" s="29" t="s">
        <v>137</v>
      </c>
      <c r="E88" s="32">
        <v>1200000</v>
      </c>
      <c r="F88" s="31" t="s">
        <v>138</v>
      </c>
      <c r="G88" s="53" t="str">
        <f>VLOOKUP(F88,[3]Sheet2!$C$10:$E$231,2,FALSE)</f>
        <v>06.1.02.04.01</v>
      </c>
      <c r="H88" s="57" t="str">
        <f>VLOOKUP(F88,[3]Sheet2!$C$10:$E$231,3,FALSE)</f>
        <v>Kegiatan Kehumas - TP</v>
      </c>
      <c r="I88" s="58" t="s">
        <v>423</v>
      </c>
      <c r="J88" s="59" t="s">
        <v>424</v>
      </c>
      <c r="K88" s="21"/>
      <c r="L88" s="21"/>
      <c r="M88" s="16"/>
    </row>
    <row r="89" spans="1:13" ht="17.100000000000001" customHeight="1">
      <c r="A89" s="17">
        <v>46071</v>
      </c>
      <c r="B89" s="55" t="s">
        <v>139</v>
      </c>
      <c r="C89" s="55">
        <v>84</v>
      </c>
      <c r="D89" s="29" t="s">
        <v>140</v>
      </c>
      <c r="E89" s="32">
        <v>29970000</v>
      </c>
      <c r="F89" s="31" t="s">
        <v>138</v>
      </c>
      <c r="G89" s="53" t="str">
        <f>VLOOKUP(F89,[3]Sheet2!$C$10:$E$231,2,FALSE)</f>
        <v>06.1.02.04.01</v>
      </c>
      <c r="H89" s="57" t="str">
        <f>VLOOKUP(F89,[3]Sheet2!$C$10:$E$231,3,FALSE)</f>
        <v>Kegiatan Kehumas - TP</v>
      </c>
      <c r="I89" s="58" t="s">
        <v>423</v>
      </c>
      <c r="J89" s="59" t="s">
        <v>424</v>
      </c>
      <c r="K89" s="21"/>
      <c r="L89" s="21"/>
      <c r="M89" s="16"/>
    </row>
    <row r="90" spans="1:13" ht="17.100000000000001" customHeight="1">
      <c r="A90" s="17">
        <v>46071</v>
      </c>
      <c r="B90" s="55" t="s">
        <v>141</v>
      </c>
      <c r="C90" s="55">
        <v>85</v>
      </c>
      <c r="D90" s="29" t="s">
        <v>142</v>
      </c>
      <c r="E90" s="32">
        <v>1440000</v>
      </c>
      <c r="F90" s="31" t="s">
        <v>138</v>
      </c>
      <c r="G90" s="53" t="str">
        <f>VLOOKUP(F90,[3]Sheet2!$C$10:$E$231,2,FALSE)</f>
        <v>06.1.02.04.01</v>
      </c>
      <c r="H90" s="57" t="str">
        <f>VLOOKUP(F90,[3]Sheet2!$C$10:$E$231,3,FALSE)</f>
        <v>Kegiatan Kehumas - TP</v>
      </c>
      <c r="I90" s="58" t="s">
        <v>423</v>
      </c>
      <c r="J90" s="59" t="s">
        <v>424</v>
      </c>
      <c r="K90" s="21"/>
      <c r="L90" s="21"/>
      <c r="M90" s="16"/>
    </row>
    <row r="91" spans="1:13" ht="17.100000000000001" customHeight="1">
      <c r="A91" s="17">
        <v>46071</v>
      </c>
      <c r="B91" s="55" t="s">
        <v>143</v>
      </c>
      <c r="C91" s="55">
        <v>86</v>
      </c>
      <c r="D91" s="29" t="s">
        <v>144</v>
      </c>
      <c r="E91" s="32">
        <v>5628300</v>
      </c>
      <c r="F91" s="31" t="s">
        <v>138</v>
      </c>
      <c r="G91" s="53" t="str">
        <f>VLOOKUP(F91,[3]Sheet2!$C$10:$E$231,2,FALSE)</f>
        <v>06.1.02.04.01</v>
      </c>
      <c r="H91" s="57" t="str">
        <f>VLOOKUP(F91,[3]Sheet2!$C$10:$E$231,3,FALSE)</f>
        <v>Kegiatan Kehumas - TP</v>
      </c>
      <c r="I91" s="58" t="s">
        <v>423</v>
      </c>
      <c r="J91" s="59" t="s">
        <v>424</v>
      </c>
      <c r="K91" s="21"/>
      <c r="L91" s="21"/>
      <c r="M91" s="16"/>
    </row>
    <row r="92" spans="1:13" ht="17.100000000000001" customHeight="1">
      <c r="A92" s="17">
        <v>46071</v>
      </c>
      <c r="B92" s="55" t="s">
        <v>145</v>
      </c>
      <c r="C92" s="55">
        <v>87</v>
      </c>
      <c r="D92" s="29" t="s">
        <v>146</v>
      </c>
      <c r="E92" s="32">
        <v>18944860</v>
      </c>
      <c r="F92" s="31" t="s">
        <v>147</v>
      </c>
      <c r="G92" s="53" t="str">
        <f>VLOOKUP(F92,[3]Sheet2!$C$10:$E$231,2,FALSE)</f>
        <v>06.1.01.06.01</v>
      </c>
      <c r="H92" s="57" t="str">
        <f>VLOOKUP(F92,[3]Sheet2!$C$10:$E$231,3,FALSE)</f>
        <v>Biaya Listrik - TP</v>
      </c>
      <c r="I92" s="58" t="s">
        <v>423</v>
      </c>
      <c r="J92" s="59" t="s">
        <v>424</v>
      </c>
      <c r="K92" s="21"/>
      <c r="L92" s="21"/>
      <c r="M92" s="16"/>
    </row>
    <row r="93" spans="1:13" ht="17.100000000000001" customHeight="1">
      <c r="A93" s="17">
        <v>46071</v>
      </c>
      <c r="B93" s="55" t="s">
        <v>148</v>
      </c>
      <c r="C93" s="55">
        <v>88</v>
      </c>
      <c r="D93" s="29" t="s">
        <v>149</v>
      </c>
      <c r="E93" s="32">
        <v>3536200</v>
      </c>
      <c r="F93" s="31" t="s">
        <v>150</v>
      </c>
      <c r="G93" s="53" t="str">
        <f>VLOOKUP(F93,[3]Sheet2!$C$10:$E$231,2,FALSE)</f>
        <v>06.1.01.06.03</v>
      </c>
      <c r="H93" s="57" t="str">
        <f>VLOOKUP(F93,[3]Sheet2!$C$10:$E$231,3,FALSE)</f>
        <v>Biaya PDAM - TP</v>
      </c>
      <c r="I93" s="58" t="s">
        <v>423</v>
      </c>
      <c r="J93" s="59" t="s">
        <v>424</v>
      </c>
      <c r="K93" s="21"/>
      <c r="L93" s="21"/>
      <c r="M93" s="16"/>
    </row>
    <row r="94" spans="1:13" ht="17.100000000000001" customHeight="1">
      <c r="A94" s="17">
        <v>46071</v>
      </c>
      <c r="B94" s="55" t="s">
        <v>151</v>
      </c>
      <c r="C94" s="55">
        <v>89</v>
      </c>
      <c r="D94" s="29" t="s">
        <v>152</v>
      </c>
      <c r="E94" s="32">
        <v>1550000</v>
      </c>
      <c r="F94" s="31" t="s">
        <v>153</v>
      </c>
      <c r="G94" s="53" t="str">
        <f>VLOOKUP(F94,[3]Sheet2!$C$10:$E$231,2,FALSE)</f>
        <v>06.1.02.07.13</v>
      </c>
      <c r="H94" s="57" t="str">
        <f>VLOOKUP(F94,[3]Sheet2!$C$10:$E$231,3,FALSE)</f>
        <v>Honor Dosen Pakar/Ahli  Prodi PSPPA Fakultas Farmasi - TP</v>
      </c>
      <c r="I94" s="58" t="s">
        <v>423</v>
      </c>
      <c r="J94" s="59" t="s">
        <v>424</v>
      </c>
      <c r="K94" s="21"/>
      <c r="L94" s="21"/>
      <c r="M94" s="16"/>
    </row>
    <row r="95" spans="1:13" ht="17.100000000000001" customHeight="1">
      <c r="A95" s="17">
        <v>46071</v>
      </c>
      <c r="B95" s="55" t="s">
        <v>154</v>
      </c>
      <c r="C95" s="55">
        <v>90</v>
      </c>
      <c r="D95" s="29" t="s">
        <v>155</v>
      </c>
      <c r="E95" s="32">
        <v>11732000</v>
      </c>
      <c r="F95" s="31" t="s">
        <v>111</v>
      </c>
      <c r="G95" s="53" t="str">
        <f>VLOOKUP(F95,[3]Sheet2!$C$10:$E$231,2,FALSE)</f>
        <v>06.1.01.03.17</v>
      </c>
      <c r="H95" s="57" t="str">
        <f>VLOOKUP(F95,[3]Sheet2!$C$10:$E$231,3,FALSE)</f>
        <v>Pengadaan Alat dan Bahan Praktikum Laboratorium - TP</v>
      </c>
      <c r="I95" s="58" t="s">
        <v>423</v>
      </c>
      <c r="J95" s="59" t="s">
        <v>424</v>
      </c>
      <c r="K95" s="21"/>
      <c r="L95" s="21"/>
      <c r="M95" s="16"/>
    </row>
    <row r="96" spans="1:13" ht="17.100000000000001" customHeight="1">
      <c r="A96" s="17">
        <v>46071</v>
      </c>
      <c r="B96" s="55" t="s">
        <v>156</v>
      </c>
      <c r="C96" s="55">
        <v>91</v>
      </c>
      <c r="D96" s="29" t="s">
        <v>157</v>
      </c>
      <c r="E96" s="32">
        <v>9205800</v>
      </c>
      <c r="F96" s="31" t="s">
        <v>82</v>
      </c>
      <c r="G96" s="53" t="str">
        <f>VLOOKUP(F96,[3]Sheet2!$C$10:$E$231,2,FALSE)</f>
        <v>06.1.02.07.19</v>
      </c>
      <c r="H96" s="57" t="str">
        <f>VLOOKUP(F96,[3]Sheet2!$C$10:$E$231,3,FALSE)</f>
        <v>Praktek Klinik Profesi Apoteker PSPPA - TP</v>
      </c>
      <c r="I96" s="58" t="s">
        <v>423</v>
      </c>
      <c r="J96" s="59" t="s">
        <v>424</v>
      </c>
      <c r="K96" s="21"/>
      <c r="L96" s="21"/>
      <c r="M96" s="16"/>
    </row>
    <row r="97" spans="1:13" ht="17.100000000000001" customHeight="1">
      <c r="A97" s="17">
        <v>46071</v>
      </c>
      <c r="B97" s="55" t="s">
        <v>158</v>
      </c>
      <c r="C97" s="55">
        <v>92</v>
      </c>
      <c r="D97" s="29" t="s">
        <v>159</v>
      </c>
      <c r="E97" s="32">
        <v>80053000</v>
      </c>
      <c r="F97" s="31" t="s">
        <v>160</v>
      </c>
      <c r="G97" s="53" t="str">
        <f>VLOOKUP(F97,[3]Sheet2!$C$10:$E$231,2,FALSE)</f>
        <v>06.1.02.03.05</v>
      </c>
      <c r="H97" s="57" t="str">
        <f>VLOOKUP(F97,[3]Sheet2!$C$10:$E$231,3,FALSE)</f>
        <v>Beasiswa Prestasi Akademik (BPA) - TP</v>
      </c>
      <c r="I97" s="58" t="s">
        <v>423</v>
      </c>
      <c r="J97" s="59" t="s">
        <v>424</v>
      </c>
      <c r="K97" s="21"/>
      <c r="L97" s="21"/>
      <c r="M97" s="16"/>
    </row>
    <row r="98" spans="1:13" ht="17.100000000000001" customHeight="1">
      <c r="A98" s="17">
        <v>46071</v>
      </c>
      <c r="B98" s="55" t="s">
        <v>161</v>
      </c>
      <c r="C98" s="55">
        <v>93</v>
      </c>
      <c r="D98" s="29" t="s">
        <v>162</v>
      </c>
      <c r="E98" s="32">
        <v>27925000</v>
      </c>
      <c r="F98" s="31" t="s">
        <v>163</v>
      </c>
      <c r="G98" s="53" t="s">
        <v>415</v>
      </c>
      <c r="H98" s="57" t="s">
        <v>416</v>
      </c>
      <c r="I98" s="58" t="s">
        <v>423</v>
      </c>
      <c r="J98" s="59" t="s">
        <v>424</v>
      </c>
      <c r="K98" s="21"/>
      <c r="L98" s="21"/>
      <c r="M98" s="16"/>
    </row>
    <row r="99" spans="1:13" ht="17.100000000000001" customHeight="1">
      <c r="A99" s="17">
        <v>46071</v>
      </c>
      <c r="B99" s="55" t="s">
        <v>164</v>
      </c>
      <c r="C99" s="55">
        <v>94</v>
      </c>
      <c r="D99" s="29" t="s">
        <v>165</v>
      </c>
      <c r="E99" s="32">
        <v>1250000</v>
      </c>
      <c r="F99" s="31" t="s">
        <v>166</v>
      </c>
      <c r="G99" s="53" t="str">
        <f>VLOOKUP(F99,[3]Sheet2!$C$10:$E$231,2,FALSE)</f>
        <v>06.1.02.01.01</v>
      </c>
      <c r="H99" s="57" t="str">
        <f>VLOOKUP(F99,[3]Sheet2!$C$10:$E$231,3,FALSE)</f>
        <v>Rapat Evaluasi dan Awal Program - TP</v>
      </c>
      <c r="I99" s="58" t="s">
        <v>423</v>
      </c>
      <c r="J99" s="59" t="s">
        <v>424</v>
      </c>
      <c r="K99" s="21"/>
      <c r="L99" s="21"/>
      <c r="M99" s="16"/>
    </row>
    <row r="100" spans="1:13" ht="17.100000000000001" customHeight="1">
      <c r="A100" s="17">
        <v>46071</v>
      </c>
      <c r="B100" s="55" t="s">
        <v>167</v>
      </c>
      <c r="C100" s="55">
        <v>95</v>
      </c>
      <c r="D100" s="29" t="s">
        <v>168</v>
      </c>
      <c r="E100" s="32">
        <v>4867000</v>
      </c>
      <c r="F100" s="31" t="s">
        <v>160</v>
      </c>
      <c r="G100" s="53" t="str">
        <f>VLOOKUP(F100,[3]Sheet2!$C$10:$E$231,2,FALSE)</f>
        <v>06.1.02.03.05</v>
      </c>
      <c r="H100" s="57" t="str">
        <f>VLOOKUP(F100,[3]Sheet2!$C$10:$E$231,3,FALSE)</f>
        <v>Beasiswa Prestasi Akademik (BPA) - TP</v>
      </c>
      <c r="I100" s="58" t="s">
        <v>423</v>
      </c>
      <c r="J100" s="59" t="s">
        <v>424</v>
      </c>
      <c r="K100" s="21"/>
      <c r="L100" s="21"/>
      <c r="M100" s="16"/>
    </row>
    <row r="101" spans="1:13" ht="17.100000000000001" customHeight="1">
      <c r="A101" s="17">
        <v>46071</v>
      </c>
      <c r="B101" s="55" t="s">
        <v>169</v>
      </c>
      <c r="C101" s="55">
        <v>96</v>
      </c>
      <c r="D101" s="18" t="s">
        <v>170</v>
      </c>
      <c r="E101" s="25">
        <v>350000</v>
      </c>
      <c r="F101" s="26" t="s">
        <v>41</v>
      </c>
      <c r="G101" s="53" t="str">
        <f>VLOOKUP(F101,[3]Sheet2!$C$10:$E$231,2,FALSE)</f>
        <v>06.1.01.05.01</v>
      </c>
      <c r="H101" s="57" t="str">
        <f>VLOOKUP(F101,[3]Sheet2!$C$10:$E$231,3,FALSE)</f>
        <v>Perjalanan dinas - TP</v>
      </c>
      <c r="I101" s="58" t="s">
        <v>423</v>
      </c>
      <c r="J101" s="59" t="s">
        <v>424</v>
      </c>
      <c r="K101" s="21"/>
      <c r="L101" s="21"/>
      <c r="M101" s="16"/>
    </row>
    <row r="102" spans="1:13" ht="17.100000000000001" customHeight="1">
      <c r="A102" s="17">
        <v>46071</v>
      </c>
      <c r="B102" s="55" t="s">
        <v>169</v>
      </c>
      <c r="C102" s="55">
        <v>97</v>
      </c>
      <c r="D102" s="18" t="s">
        <v>171</v>
      </c>
      <c r="E102" s="25">
        <v>480000</v>
      </c>
      <c r="F102" s="26" t="s">
        <v>19</v>
      </c>
      <c r="G102" s="53" t="str">
        <f>VLOOKUP(F102,[3]Sheet2!$C$10:$E$231,2,FALSE)</f>
        <v>06.1.01.03.08</v>
      </c>
      <c r="H102" s="57" t="str">
        <f>VLOOKUP(F102,[3]Sheet2!$C$10:$E$231,3,FALSE)</f>
        <v>Biaya Konsumsi Karyawan - TP</v>
      </c>
      <c r="I102" s="58" t="s">
        <v>423</v>
      </c>
      <c r="J102" s="59" t="s">
        <v>424</v>
      </c>
      <c r="K102" s="21"/>
      <c r="L102" s="21"/>
      <c r="M102" s="16"/>
    </row>
    <row r="103" spans="1:13" ht="17.100000000000001" customHeight="1">
      <c r="A103" s="17">
        <v>46071</v>
      </c>
      <c r="B103" s="55" t="s">
        <v>169</v>
      </c>
      <c r="C103" s="55">
        <v>98</v>
      </c>
      <c r="D103" s="18" t="s">
        <v>171</v>
      </c>
      <c r="E103" s="25">
        <v>22000</v>
      </c>
      <c r="F103" s="26" t="s">
        <v>19</v>
      </c>
      <c r="G103" s="53" t="str">
        <f>VLOOKUP(F103,[3]Sheet2!$C$10:$E$231,2,FALSE)</f>
        <v>06.1.01.03.08</v>
      </c>
      <c r="H103" s="57" t="str">
        <f>VLOOKUP(F103,[3]Sheet2!$C$10:$E$231,3,FALSE)</f>
        <v>Biaya Konsumsi Karyawan - TP</v>
      </c>
      <c r="I103" s="58" t="s">
        <v>423</v>
      </c>
      <c r="J103" s="59" t="s">
        <v>424</v>
      </c>
      <c r="K103" s="21"/>
      <c r="L103" s="21"/>
      <c r="M103" s="16"/>
    </row>
    <row r="104" spans="1:13" ht="17.100000000000001" customHeight="1">
      <c r="A104" s="17">
        <v>46071</v>
      </c>
      <c r="B104" s="55" t="s">
        <v>169</v>
      </c>
      <c r="C104" s="55">
        <v>99</v>
      </c>
      <c r="D104" s="18" t="s">
        <v>172</v>
      </c>
      <c r="E104" s="25">
        <v>169000</v>
      </c>
      <c r="F104" s="26" t="s">
        <v>129</v>
      </c>
      <c r="G104" s="53" t="str">
        <f>VLOOKUP(F104,[3]Sheet2!$C$10:$E$231,2,FALSE)</f>
        <v>06.1.02.07.30</v>
      </c>
      <c r="H104" s="57" t="str">
        <f>VLOOKUP(F104,[3]Sheet2!$C$10:$E$231,3,FALSE)</f>
        <v>Workhsop Kurikulum OBE</v>
      </c>
      <c r="I104" s="58" t="s">
        <v>423</v>
      </c>
      <c r="J104" s="59" t="s">
        <v>424</v>
      </c>
      <c r="K104" s="21"/>
      <c r="L104" s="21"/>
      <c r="M104" s="16"/>
    </row>
    <row r="105" spans="1:13" ht="17.100000000000001" customHeight="1">
      <c r="A105" s="17">
        <v>46071</v>
      </c>
      <c r="B105" s="55" t="s">
        <v>169</v>
      </c>
      <c r="C105" s="55">
        <v>100</v>
      </c>
      <c r="D105" s="18" t="s">
        <v>173</v>
      </c>
      <c r="E105" s="25">
        <v>75000</v>
      </c>
      <c r="F105" s="26" t="s">
        <v>129</v>
      </c>
      <c r="G105" s="53" t="str">
        <f>VLOOKUP(F105,[3]Sheet2!$C$10:$E$231,2,FALSE)</f>
        <v>06.1.02.07.30</v>
      </c>
      <c r="H105" s="57" t="str">
        <f>VLOOKUP(F105,[3]Sheet2!$C$10:$E$231,3,FALSE)</f>
        <v>Workhsop Kurikulum OBE</v>
      </c>
      <c r="I105" s="58" t="s">
        <v>423</v>
      </c>
      <c r="J105" s="59" t="s">
        <v>424</v>
      </c>
      <c r="K105" s="21"/>
      <c r="L105" s="21"/>
      <c r="M105" s="16"/>
    </row>
    <row r="106" spans="1:13" ht="17.100000000000001" customHeight="1">
      <c r="A106" s="17">
        <v>46071</v>
      </c>
      <c r="B106" s="55" t="s">
        <v>169</v>
      </c>
      <c r="C106" s="55">
        <v>101</v>
      </c>
      <c r="D106" s="18" t="s">
        <v>173</v>
      </c>
      <c r="E106" s="25">
        <v>75000</v>
      </c>
      <c r="F106" s="26" t="s">
        <v>129</v>
      </c>
      <c r="G106" s="53" t="str">
        <f>VLOOKUP(F106,[3]Sheet2!$C$10:$E$231,2,FALSE)</f>
        <v>06.1.02.07.30</v>
      </c>
      <c r="H106" s="57" t="str">
        <f>VLOOKUP(F106,[3]Sheet2!$C$10:$E$231,3,FALSE)</f>
        <v>Workhsop Kurikulum OBE</v>
      </c>
      <c r="I106" s="58" t="s">
        <v>423</v>
      </c>
      <c r="J106" s="59" t="s">
        <v>424</v>
      </c>
      <c r="K106" s="21"/>
      <c r="L106" s="21"/>
      <c r="M106" s="16"/>
    </row>
    <row r="107" spans="1:13" ht="17.100000000000001" customHeight="1">
      <c r="A107" s="17">
        <v>46071</v>
      </c>
      <c r="B107" s="55" t="s">
        <v>169</v>
      </c>
      <c r="C107" s="55">
        <v>102</v>
      </c>
      <c r="D107" s="18" t="s">
        <v>174</v>
      </c>
      <c r="E107" s="25">
        <v>155000</v>
      </c>
      <c r="F107" s="26" t="s">
        <v>175</v>
      </c>
      <c r="G107" s="53" t="str">
        <f>VLOOKUP(F107,[3]Sheet2!$C$10:$E$231,2,FALSE)</f>
        <v>06.1.01.03.02</v>
      </c>
      <c r="H107" s="57" t="str">
        <f>VLOOKUP(F107,[3]Sheet2!$C$10:$E$231,3,FALSE)</f>
        <v>Biaya Alat Tulis Kantor - TP</v>
      </c>
      <c r="I107" s="58" t="s">
        <v>423</v>
      </c>
      <c r="J107" s="59" t="s">
        <v>424</v>
      </c>
      <c r="K107" s="21"/>
      <c r="L107" s="21"/>
      <c r="M107" s="16"/>
    </row>
    <row r="108" spans="1:13" ht="17.100000000000001" customHeight="1">
      <c r="A108" s="17">
        <v>46071</v>
      </c>
      <c r="B108" s="55" t="s">
        <v>169</v>
      </c>
      <c r="C108" s="55">
        <v>103</v>
      </c>
      <c r="D108" s="18" t="s">
        <v>176</v>
      </c>
      <c r="E108" s="25">
        <v>350000</v>
      </c>
      <c r="F108" s="26" t="s">
        <v>41</v>
      </c>
      <c r="G108" s="53" t="str">
        <f>VLOOKUP(F108,[3]Sheet2!$C$10:$E$231,2,FALSE)</f>
        <v>06.1.01.05.01</v>
      </c>
      <c r="H108" s="57" t="str">
        <f>VLOOKUP(F108,[3]Sheet2!$C$10:$E$231,3,FALSE)</f>
        <v>Perjalanan dinas - TP</v>
      </c>
      <c r="I108" s="58" t="s">
        <v>423</v>
      </c>
      <c r="J108" s="59" t="s">
        <v>424</v>
      </c>
      <c r="K108" s="21"/>
      <c r="L108" s="21"/>
      <c r="M108" s="16"/>
    </row>
    <row r="109" spans="1:13" ht="17.100000000000001" customHeight="1">
      <c r="A109" s="17">
        <v>46071</v>
      </c>
      <c r="B109" s="55" t="s">
        <v>169</v>
      </c>
      <c r="C109" s="55">
        <v>104</v>
      </c>
      <c r="D109" s="18" t="s">
        <v>177</v>
      </c>
      <c r="E109" s="25">
        <v>250000</v>
      </c>
      <c r="F109" s="26" t="s">
        <v>41</v>
      </c>
      <c r="G109" s="53" t="str">
        <f>VLOOKUP(F109,[3]Sheet2!$C$10:$E$231,2,FALSE)</f>
        <v>06.1.01.05.01</v>
      </c>
      <c r="H109" s="57" t="str">
        <f>VLOOKUP(F109,[3]Sheet2!$C$10:$E$231,3,FALSE)</f>
        <v>Perjalanan dinas - TP</v>
      </c>
      <c r="I109" s="58" t="s">
        <v>423</v>
      </c>
      <c r="J109" s="59" t="s">
        <v>424</v>
      </c>
      <c r="K109" s="21"/>
      <c r="L109" s="21"/>
      <c r="M109" s="16"/>
    </row>
    <row r="110" spans="1:13" ht="17.100000000000001" customHeight="1">
      <c r="A110" s="17">
        <v>46071</v>
      </c>
      <c r="B110" s="55" t="s">
        <v>169</v>
      </c>
      <c r="C110" s="55">
        <v>105</v>
      </c>
      <c r="D110" s="18" t="s">
        <v>178</v>
      </c>
      <c r="E110" s="33">
        <v>300000</v>
      </c>
      <c r="F110" s="26" t="s">
        <v>41</v>
      </c>
      <c r="G110" s="53" t="str">
        <f>VLOOKUP(F110,[3]Sheet2!$C$10:$E$231,2,FALSE)</f>
        <v>06.1.01.05.01</v>
      </c>
      <c r="H110" s="57" t="str">
        <f>VLOOKUP(F110,[3]Sheet2!$C$10:$E$231,3,FALSE)</f>
        <v>Perjalanan dinas - TP</v>
      </c>
      <c r="I110" s="58" t="s">
        <v>423</v>
      </c>
      <c r="J110" s="59" t="s">
        <v>424</v>
      </c>
      <c r="K110" s="21"/>
      <c r="L110" s="21"/>
      <c r="M110" s="16"/>
    </row>
    <row r="111" spans="1:13" ht="17.100000000000001" customHeight="1">
      <c r="A111" s="17">
        <v>46071</v>
      </c>
      <c r="B111" s="55" t="s">
        <v>169</v>
      </c>
      <c r="C111" s="55">
        <v>106</v>
      </c>
      <c r="D111" s="18" t="s">
        <v>179</v>
      </c>
      <c r="E111" s="33">
        <v>250000</v>
      </c>
      <c r="F111" s="26" t="s">
        <v>41</v>
      </c>
      <c r="G111" s="53" t="str">
        <f>VLOOKUP(F111,[3]Sheet2!$C$10:$E$231,2,FALSE)</f>
        <v>06.1.01.05.01</v>
      </c>
      <c r="H111" s="57" t="str">
        <f>VLOOKUP(F111,[3]Sheet2!$C$10:$E$231,3,FALSE)</f>
        <v>Perjalanan dinas - TP</v>
      </c>
      <c r="I111" s="58" t="s">
        <v>423</v>
      </c>
      <c r="J111" s="59" t="s">
        <v>424</v>
      </c>
      <c r="K111" s="21"/>
      <c r="L111" s="21"/>
      <c r="M111" s="16"/>
    </row>
    <row r="112" spans="1:13" ht="17.100000000000001" customHeight="1">
      <c r="A112" s="17">
        <v>46071</v>
      </c>
      <c r="B112" s="55" t="s">
        <v>169</v>
      </c>
      <c r="C112" s="55">
        <v>107</v>
      </c>
      <c r="D112" s="18" t="s">
        <v>180</v>
      </c>
      <c r="E112" s="33">
        <v>2900</v>
      </c>
      <c r="F112" s="26" t="s">
        <v>39</v>
      </c>
      <c r="G112" s="53" t="str">
        <f>VLOOKUP(F112,[3]Sheet2!$C$10:$E$231,2,FALSE)</f>
        <v>06.1.01.02.17</v>
      </c>
      <c r="H112" s="57" t="str">
        <f>VLOOKUP(F112,[3]Sheet2!$C$10:$E$231,3,FALSE)</f>
        <v>Administrasi Bank, umum dan surat menyurat - TP</v>
      </c>
      <c r="I112" s="58" t="s">
        <v>423</v>
      </c>
      <c r="J112" s="59" t="s">
        <v>424</v>
      </c>
      <c r="K112" s="21"/>
      <c r="L112" s="21"/>
      <c r="M112" s="16"/>
    </row>
    <row r="113" spans="1:13" ht="17.100000000000001" customHeight="1">
      <c r="A113" s="17">
        <v>46071</v>
      </c>
      <c r="B113" s="55" t="s">
        <v>169</v>
      </c>
      <c r="C113" s="55">
        <v>108</v>
      </c>
      <c r="D113" s="18" t="s">
        <v>181</v>
      </c>
      <c r="E113" s="33">
        <v>200000</v>
      </c>
      <c r="F113" s="26" t="s">
        <v>182</v>
      </c>
      <c r="G113" s="53" t="str">
        <f>VLOOKUP(F113,[3]Sheet2!$C$10:$E$231,2,FALSE)</f>
        <v>06.1.01.01.15</v>
      </c>
      <c r="H113" s="57" t="str">
        <f>VLOOKUP(F113,[3]Sheet2!$C$10:$E$231,3,FALSE)</f>
        <v>Upah Lembur dan Piket - TP</v>
      </c>
      <c r="I113" s="58" t="s">
        <v>423</v>
      </c>
      <c r="J113" s="59" t="s">
        <v>424</v>
      </c>
      <c r="K113" s="21"/>
      <c r="L113" s="21"/>
      <c r="M113" s="16"/>
    </row>
    <row r="114" spans="1:13" ht="17.100000000000001" customHeight="1">
      <c r="A114" s="17">
        <v>46071</v>
      </c>
      <c r="B114" s="55" t="s">
        <v>169</v>
      </c>
      <c r="C114" s="55">
        <v>109</v>
      </c>
      <c r="D114" s="18" t="s">
        <v>183</v>
      </c>
      <c r="E114" s="33">
        <v>101500</v>
      </c>
      <c r="F114" s="26" t="s">
        <v>17</v>
      </c>
      <c r="G114" s="53" t="str">
        <f>VLOOKUP(F114,[3]Sheet2!$C$10:$E$231,2,FALSE)</f>
        <v>06.1.01.06.02</v>
      </c>
      <c r="H114" s="57" t="str">
        <f>VLOOKUP(F114,[3]Sheet2!$C$10:$E$231,3,FALSE)</f>
        <v>Biaya telepon/fax/internet - TP</v>
      </c>
      <c r="I114" s="58" t="s">
        <v>423</v>
      </c>
      <c r="J114" s="59" t="s">
        <v>424</v>
      </c>
      <c r="K114" s="21"/>
      <c r="L114" s="21"/>
      <c r="M114" s="16"/>
    </row>
    <row r="115" spans="1:13" ht="17.100000000000001" customHeight="1">
      <c r="A115" s="17">
        <v>46071</v>
      </c>
      <c r="B115" s="55" t="s">
        <v>169</v>
      </c>
      <c r="C115" s="55">
        <v>110</v>
      </c>
      <c r="D115" s="18" t="s">
        <v>183</v>
      </c>
      <c r="E115" s="33">
        <v>16500</v>
      </c>
      <c r="F115" s="26" t="s">
        <v>17</v>
      </c>
      <c r="G115" s="53" t="str">
        <f>VLOOKUP(F115,[3]Sheet2!$C$10:$E$231,2,FALSE)</f>
        <v>06.1.01.06.02</v>
      </c>
      <c r="H115" s="57" t="str">
        <f>VLOOKUP(F115,[3]Sheet2!$C$10:$E$231,3,FALSE)</f>
        <v>Biaya telepon/fax/internet - TP</v>
      </c>
      <c r="I115" s="58" t="s">
        <v>423</v>
      </c>
      <c r="J115" s="59" t="s">
        <v>424</v>
      </c>
      <c r="K115" s="21"/>
      <c r="L115" s="21"/>
      <c r="M115" s="16"/>
    </row>
    <row r="116" spans="1:13" ht="17.100000000000001" customHeight="1">
      <c r="A116" s="17">
        <v>46071</v>
      </c>
      <c r="B116" s="55" t="s">
        <v>169</v>
      </c>
      <c r="C116" s="55">
        <v>111</v>
      </c>
      <c r="D116" s="18" t="s">
        <v>184</v>
      </c>
      <c r="E116" s="33">
        <v>300000</v>
      </c>
      <c r="F116" s="26" t="s">
        <v>41</v>
      </c>
      <c r="G116" s="53" t="str">
        <f>VLOOKUP(F116,[3]Sheet2!$C$10:$E$231,2,FALSE)</f>
        <v>06.1.01.05.01</v>
      </c>
      <c r="H116" s="57" t="str">
        <f>VLOOKUP(F116,[3]Sheet2!$C$10:$E$231,3,FALSE)</f>
        <v>Perjalanan dinas - TP</v>
      </c>
      <c r="I116" s="58" t="s">
        <v>423</v>
      </c>
      <c r="J116" s="59" t="s">
        <v>424</v>
      </c>
      <c r="K116" s="21"/>
      <c r="L116" s="21"/>
      <c r="M116" s="16"/>
    </row>
    <row r="117" spans="1:13" ht="17.100000000000001" customHeight="1">
      <c r="A117" s="17">
        <v>46071</v>
      </c>
      <c r="B117" s="55" t="s">
        <v>169</v>
      </c>
      <c r="C117" s="55">
        <v>112</v>
      </c>
      <c r="D117" s="18" t="s">
        <v>185</v>
      </c>
      <c r="E117" s="33">
        <v>440000</v>
      </c>
      <c r="F117" s="26" t="s">
        <v>19</v>
      </c>
      <c r="G117" s="53" t="str">
        <f>VLOOKUP(F117,[3]Sheet2!$C$10:$E$231,2,FALSE)</f>
        <v>06.1.01.03.08</v>
      </c>
      <c r="H117" s="57" t="str">
        <f>VLOOKUP(F117,[3]Sheet2!$C$10:$E$231,3,FALSE)</f>
        <v>Biaya Konsumsi Karyawan - TP</v>
      </c>
      <c r="I117" s="58" t="s">
        <v>423</v>
      </c>
      <c r="J117" s="59" t="s">
        <v>424</v>
      </c>
      <c r="K117" s="21"/>
      <c r="L117" s="21"/>
      <c r="M117" s="16"/>
    </row>
    <row r="118" spans="1:13" ht="17.100000000000001" customHeight="1">
      <c r="A118" s="17">
        <v>46071</v>
      </c>
      <c r="B118" s="55" t="s">
        <v>169</v>
      </c>
      <c r="C118" s="55">
        <v>113</v>
      </c>
      <c r="D118" s="18" t="s">
        <v>185</v>
      </c>
      <c r="E118" s="33">
        <v>220000</v>
      </c>
      <c r="F118" s="26" t="s">
        <v>19</v>
      </c>
      <c r="G118" s="53" t="str">
        <f>VLOOKUP(F118,[3]Sheet2!$C$10:$E$231,2,FALSE)</f>
        <v>06.1.01.03.08</v>
      </c>
      <c r="H118" s="57" t="str">
        <f>VLOOKUP(F118,[3]Sheet2!$C$10:$E$231,3,FALSE)</f>
        <v>Biaya Konsumsi Karyawan - TP</v>
      </c>
      <c r="I118" s="58" t="s">
        <v>423</v>
      </c>
      <c r="J118" s="59" t="s">
        <v>424</v>
      </c>
      <c r="K118" s="21"/>
      <c r="L118" s="21"/>
      <c r="M118" s="16"/>
    </row>
    <row r="119" spans="1:13" ht="17.100000000000001" customHeight="1">
      <c r="A119" s="17">
        <v>46071</v>
      </c>
      <c r="B119" s="55" t="s">
        <v>169</v>
      </c>
      <c r="C119" s="55">
        <v>114</v>
      </c>
      <c r="D119" s="18" t="s">
        <v>186</v>
      </c>
      <c r="E119" s="33">
        <v>150000</v>
      </c>
      <c r="F119" s="26" t="s">
        <v>19</v>
      </c>
      <c r="G119" s="53" t="str">
        <f>VLOOKUP(F119,[3]Sheet2!$C$10:$E$231,2,FALSE)</f>
        <v>06.1.01.03.08</v>
      </c>
      <c r="H119" s="57" t="str">
        <f>VLOOKUP(F119,[3]Sheet2!$C$10:$E$231,3,FALSE)</f>
        <v>Biaya Konsumsi Karyawan - TP</v>
      </c>
      <c r="I119" s="58" t="s">
        <v>423</v>
      </c>
      <c r="J119" s="59" t="s">
        <v>424</v>
      </c>
      <c r="K119" s="21"/>
      <c r="L119" s="21"/>
      <c r="M119" s="16"/>
    </row>
    <row r="120" spans="1:13" ht="17.100000000000001" customHeight="1">
      <c r="A120" s="17">
        <v>46071</v>
      </c>
      <c r="B120" s="55" t="s">
        <v>169</v>
      </c>
      <c r="C120" s="55">
        <v>115</v>
      </c>
      <c r="D120" s="18" t="s">
        <v>187</v>
      </c>
      <c r="E120" s="33">
        <v>128000</v>
      </c>
      <c r="F120" s="26" t="s">
        <v>19</v>
      </c>
      <c r="G120" s="53" t="str">
        <f>VLOOKUP(F120,[3]Sheet2!$C$10:$E$231,2,FALSE)</f>
        <v>06.1.01.03.08</v>
      </c>
      <c r="H120" s="57" t="str">
        <f>VLOOKUP(F120,[3]Sheet2!$C$10:$E$231,3,FALSE)</f>
        <v>Biaya Konsumsi Karyawan - TP</v>
      </c>
      <c r="I120" s="58" t="s">
        <v>423</v>
      </c>
      <c r="J120" s="59" t="s">
        <v>424</v>
      </c>
      <c r="K120" s="21"/>
      <c r="L120" s="21"/>
      <c r="M120" s="16"/>
    </row>
    <row r="121" spans="1:13" ht="17.100000000000001" customHeight="1">
      <c r="A121" s="17">
        <v>46071</v>
      </c>
      <c r="B121" s="55" t="s">
        <v>169</v>
      </c>
      <c r="C121" s="55">
        <v>116</v>
      </c>
      <c r="D121" s="18" t="s">
        <v>187</v>
      </c>
      <c r="E121" s="33">
        <v>57000</v>
      </c>
      <c r="F121" s="26" t="s">
        <v>19</v>
      </c>
      <c r="G121" s="53" t="str">
        <f>VLOOKUP(F121,[3]Sheet2!$C$10:$E$231,2,FALSE)</f>
        <v>06.1.01.03.08</v>
      </c>
      <c r="H121" s="57" t="str">
        <f>VLOOKUP(F121,[3]Sheet2!$C$10:$E$231,3,FALSE)</f>
        <v>Biaya Konsumsi Karyawan - TP</v>
      </c>
      <c r="I121" s="58" t="s">
        <v>423</v>
      </c>
      <c r="J121" s="59" t="s">
        <v>424</v>
      </c>
      <c r="K121" s="21"/>
      <c r="L121" s="21"/>
      <c r="M121" s="16"/>
    </row>
    <row r="122" spans="1:13" ht="17.100000000000001" customHeight="1">
      <c r="A122" s="17">
        <v>46071</v>
      </c>
      <c r="B122" s="55" t="s">
        <v>169</v>
      </c>
      <c r="C122" s="55">
        <v>117</v>
      </c>
      <c r="D122" s="18" t="s">
        <v>28</v>
      </c>
      <c r="E122" s="33">
        <v>271000</v>
      </c>
      <c r="F122" s="26" t="s">
        <v>19</v>
      </c>
      <c r="G122" s="53" t="str">
        <f>VLOOKUP(F122,[3]Sheet2!$C$10:$E$231,2,FALSE)</f>
        <v>06.1.01.03.08</v>
      </c>
      <c r="H122" s="57" t="str">
        <f>VLOOKUP(F122,[3]Sheet2!$C$10:$E$231,3,FALSE)</f>
        <v>Biaya Konsumsi Karyawan - TP</v>
      </c>
      <c r="I122" s="58" t="s">
        <v>423</v>
      </c>
      <c r="J122" s="59" t="s">
        <v>424</v>
      </c>
      <c r="K122" s="21"/>
      <c r="L122" s="21"/>
      <c r="M122" s="16"/>
    </row>
    <row r="123" spans="1:13" ht="17.100000000000001" customHeight="1">
      <c r="A123" s="17">
        <v>46071</v>
      </c>
      <c r="B123" s="55" t="s">
        <v>169</v>
      </c>
      <c r="C123" s="55">
        <v>118</v>
      </c>
      <c r="D123" s="18" t="s">
        <v>188</v>
      </c>
      <c r="E123" s="33">
        <v>80000</v>
      </c>
      <c r="F123" s="26" t="s">
        <v>19</v>
      </c>
      <c r="G123" s="53" t="str">
        <f>VLOOKUP(F123,[3]Sheet2!$C$10:$E$231,2,FALSE)</f>
        <v>06.1.01.03.08</v>
      </c>
      <c r="H123" s="57" t="str">
        <f>VLOOKUP(F123,[3]Sheet2!$C$10:$E$231,3,FALSE)</f>
        <v>Biaya Konsumsi Karyawan - TP</v>
      </c>
      <c r="I123" s="58" t="s">
        <v>423</v>
      </c>
      <c r="J123" s="59" t="s">
        <v>424</v>
      </c>
      <c r="K123" s="21"/>
      <c r="L123" s="21"/>
      <c r="M123" s="16"/>
    </row>
    <row r="124" spans="1:13" ht="17.100000000000001" customHeight="1">
      <c r="A124" s="17">
        <v>46071</v>
      </c>
      <c r="B124" s="55" t="s">
        <v>169</v>
      </c>
      <c r="C124" s="55">
        <v>119</v>
      </c>
      <c r="D124" s="18" t="s">
        <v>70</v>
      </c>
      <c r="E124" s="33">
        <v>75000</v>
      </c>
      <c r="F124" s="26" t="s">
        <v>71</v>
      </c>
      <c r="G124" s="53" t="str">
        <f>VLOOKUP(F124,[3]Sheet2!$C$10:$E$231,2,FALSE)</f>
        <v>06.1.01.03.11</v>
      </c>
      <c r="H124" s="57" t="str">
        <f>VLOOKUP(F124,[3]Sheet2!$C$10:$E$231,3,FALSE)</f>
        <v>Belanja Fotocopy, Jilid, Laminating dan Materai - TP</v>
      </c>
      <c r="I124" s="58" t="s">
        <v>423</v>
      </c>
      <c r="J124" s="59" t="s">
        <v>424</v>
      </c>
      <c r="K124" s="21"/>
      <c r="L124" s="21"/>
      <c r="M124" s="16"/>
    </row>
    <row r="125" spans="1:13" ht="17.100000000000001" customHeight="1">
      <c r="A125" s="17">
        <v>46071</v>
      </c>
      <c r="B125" s="55" t="s">
        <v>169</v>
      </c>
      <c r="C125" s="55">
        <v>120</v>
      </c>
      <c r="D125" s="18" t="s">
        <v>70</v>
      </c>
      <c r="E125" s="33">
        <v>7000</v>
      </c>
      <c r="F125" s="26" t="s">
        <v>71</v>
      </c>
      <c r="G125" s="53" t="str">
        <f>VLOOKUP(F125,[3]Sheet2!$C$10:$E$231,2,FALSE)</f>
        <v>06.1.01.03.11</v>
      </c>
      <c r="H125" s="57" t="str">
        <f>VLOOKUP(F125,[3]Sheet2!$C$10:$E$231,3,FALSE)</f>
        <v>Belanja Fotocopy, Jilid, Laminating dan Materai - TP</v>
      </c>
      <c r="I125" s="58" t="s">
        <v>423</v>
      </c>
      <c r="J125" s="59" t="s">
        <v>424</v>
      </c>
      <c r="K125" s="21"/>
      <c r="L125" s="21"/>
      <c r="M125" s="16"/>
    </row>
    <row r="126" spans="1:13" ht="17.100000000000001" customHeight="1">
      <c r="A126" s="17">
        <v>46071</v>
      </c>
      <c r="B126" s="55" t="s">
        <v>169</v>
      </c>
      <c r="C126" s="55">
        <v>121</v>
      </c>
      <c r="D126" s="18" t="s">
        <v>70</v>
      </c>
      <c r="E126" s="33">
        <v>187500</v>
      </c>
      <c r="F126" s="26" t="s">
        <v>71</v>
      </c>
      <c r="G126" s="53" t="str">
        <f>VLOOKUP(F126,[3]Sheet2!$C$10:$E$231,2,FALSE)</f>
        <v>06.1.01.03.11</v>
      </c>
      <c r="H126" s="57" t="str">
        <f>VLOOKUP(F126,[3]Sheet2!$C$10:$E$231,3,FALSE)</f>
        <v>Belanja Fotocopy, Jilid, Laminating dan Materai - TP</v>
      </c>
      <c r="I126" s="58" t="s">
        <v>423</v>
      </c>
      <c r="J126" s="59" t="s">
        <v>424</v>
      </c>
      <c r="K126" s="21"/>
      <c r="L126" s="21"/>
      <c r="M126" s="16"/>
    </row>
    <row r="127" spans="1:13" ht="17.100000000000001" customHeight="1">
      <c r="A127" s="17">
        <v>46071</v>
      </c>
      <c r="B127" s="55" t="s">
        <v>169</v>
      </c>
      <c r="C127" s="55">
        <v>122</v>
      </c>
      <c r="D127" s="18" t="s">
        <v>70</v>
      </c>
      <c r="E127" s="33">
        <v>50000</v>
      </c>
      <c r="F127" s="26" t="s">
        <v>71</v>
      </c>
      <c r="G127" s="53" t="str">
        <f>VLOOKUP(F127,[3]Sheet2!$C$10:$E$231,2,FALSE)</f>
        <v>06.1.01.03.11</v>
      </c>
      <c r="H127" s="57" t="str">
        <f>VLOOKUP(F127,[3]Sheet2!$C$10:$E$231,3,FALSE)</f>
        <v>Belanja Fotocopy, Jilid, Laminating dan Materai - TP</v>
      </c>
      <c r="I127" s="58" t="s">
        <v>423</v>
      </c>
      <c r="J127" s="59" t="s">
        <v>424</v>
      </c>
      <c r="K127" s="21"/>
      <c r="L127" s="21"/>
      <c r="M127" s="16"/>
    </row>
    <row r="128" spans="1:13" ht="17.100000000000001" customHeight="1">
      <c r="A128" s="17">
        <v>46071</v>
      </c>
      <c r="B128" s="55" t="s">
        <v>169</v>
      </c>
      <c r="C128" s="55">
        <v>123</v>
      </c>
      <c r="D128" s="18" t="s">
        <v>189</v>
      </c>
      <c r="E128" s="33">
        <v>26100</v>
      </c>
      <c r="F128" s="26" t="s">
        <v>19</v>
      </c>
      <c r="G128" s="53" t="str">
        <f>VLOOKUP(F128,[3]Sheet2!$C$10:$E$231,2,FALSE)</f>
        <v>06.1.01.03.08</v>
      </c>
      <c r="H128" s="57" t="str">
        <f>VLOOKUP(F128,[3]Sheet2!$C$10:$E$231,3,FALSE)</f>
        <v>Biaya Konsumsi Karyawan - TP</v>
      </c>
      <c r="I128" s="58" t="s">
        <v>423</v>
      </c>
      <c r="J128" s="59" t="s">
        <v>424</v>
      </c>
      <c r="K128" s="21"/>
      <c r="L128" s="21"/>
      <c r="M128" s="16"/>
    </row>
    <row r="129" spans="1:13" ht="17.100000000000001" customHeight="1">
      <c r="A129" s="17">
        <v>46071</v>
      </c>
      <c r="B129" s="55" t="s">
        <v>169</v>
      </c>
      <c r="C129" s="55">
        <v>124</v>
      </c>
      <c r="D129" s="18" t="s">
        <v>190</v>
      </c>
      <c r="E129" s="33">
        <v>264000</v>
      </c>
      <c r="F129" s="26" t="s">
        <v>19</v>
      </c>
      <c r="G129" s="53" t="str">
        <f>VLOOKUP(F129,[3]Sheet2!$C$10:$E$231,2,FALSE)</f>
        <v>06.1.01.03.08</v>
      </c>
      <c r="H129" s="57" t="str">
        <f>VLOOKUP(F129,[3]Sheet2!$C$10:$E$231,3,FALSE)</f>
        <v>Biaya Konsumsi Karyawan - TP</v>
      </c>
      <c r="I129" s="58" t="s">
        <v>423</v>
      </c>
      <c r="J129" s="59" t="s">
        <v>424</v>
      </c>
      <c r="K129" s="21"/>
      <c r="L129" s="21"/>
      <c r="M129" s="16"/>
    </row>
    <row r="130" spans="1:13" ht="17.100000000000001" customHeight="1">
      <c r="A130" s="17">
        <v>46071</v>
      </c>
      <c r="B130" s="55" t="s">
        <v>169</v>
      </c>
      <c r="C130" s="55">
        <v>125</v>
      </c>
      <c r="D130" s="18" t="s">
        <v>190</v>
      </c>
      <c r="E130" s="33">
        <v>624000</v>
      </c>
      <c r="F130" s="26" t="s">
        <v>19</v>
      </c>
      <c r="G130" s="53" t="str">
        <f>VLOOKUP(F130,[3]Sheet2!$C$10:$E$231,2,FALSE)</f>
        <v>06.1.01.03.08</v>
      </c>
      <c r="H130" s="57" t="str">
        <f>VLOOKUP(F130,[3]Sheet2!$C$10:$E$231,3,FALSE)</f>
        <v>Biaya Konsumsi Karyawan - TP</v>
      </c>
      <c r="I130" s="58" t="s">
        <v>423</v>
      </c>
      <c r="J130" s="59" t="s">
        <v>424</v>
      </c>
      <c r="K130" s="21"/>
      <c r="L130" s="21"/>
      <c r="M130" s="16"/>
    </row>
    <row r="131" spans="1:13" ht="17.100000000000001" customHeight="1">
      <c r="A131" s="17">
        <v>46071</v>
      </c>
      <c r="B131" s="55" t="s">
        <v>169</v>
      </c>
      <c r="C131" s="55">
        <v>126</v>
      </c>
      <c r="D131" s="18" t="s">
        <v>191</v>
      </c>
      <c r="E131" s="33">
        <v>60000</v>
      </c>
      <c r="F131" s="26" t="s">
        <v>192</v>
      </c>
      <c r="G131" s="53" t="str">
        <f>VLOOKUP(F131,[3]Sheet2!$C$10:$E$231,2,FALSE)</f>
        <v>06.1.01.03.14</v>
      </c>
      <c r="H131" s="57" t="str">
        <f>VLOOKUP(F131,[3]Sheet2!$C$10:$E$231,3,FALSE)</f>
        <v>Perlengkapan kebersihan dan rumah tangga - TP</v>
      </c>
      <c r="I131" s="58" t="s">
        <v>423</v>
      </c>
      <c r="J131" s="59" t="s">
        <v>424</v>
      </c>
      <c r="K131" s="21"/>
      <c r="L131" s="21"/>
      <c r="M131" s="16"/>
    </row>
    <row r="132" spans="1:13" ht="28.5">
      <c r="A132" s="17">
        <v>46071</v>
      </c>
      <c r="B132" s="55" t="s">
        <v>169</v>
      </c>
      <c r="C132" s="55">
        <v>127</v>
      </c>
      <c r="D132" s="28" t="s">
        <v>193</v>
      </c>
      <c r="E132" s="33">
        <v>74800</v>
      </c>
      <c r="F132" s="20" t="s">
        <v>194</v>
      </c>
      <c r="G132" s="53" t="str">
        <f>VLOOKUP(F132,[3]Sheet2!$C$10:$E$231,2,FALSE)</f>
        <v>06.1.01.03.13</v>
      </c>
      <c r="H132" s="57" t="str">
        <f>VLOOKUP(F132,[3]Sheet2!$C$10:$E$231,3,FALSE)</f>
        <v>Biaya Representasi - TP</v>
      </c>
      <c r="I132" s="58" t="s">
        <v>423</v>
      </c>
      <c r="J132" s="59" t="s">
        <v>424</v>
      </c>
      <c r="K132" s="21"/>
      <c r="L132" s="21"/>
      <c r="M132" s="16"/>
    </row>
    <row r="133" spans="1:13" ht="28.5">
      <c r="A133" s="17">
        <v>46071</v>
      </c>
      <c r="B133" s="55" t="s">
        <v>169</v>
      </c>
      <c r="C133" s="55">
        <v>128</v>
      </c>
      <c r="D133" s="28" t="s">
        <v>193</v>
      </c>
      <c r="E133" s="33">
        <v>125000</v>
      </c>
      <c r="F133" s="20" t="s">
        <v>194</v>
      </c>
      <c r="G133" s="53" t="str">
        <f>VLOOKUP(F133,[3]Sheet2!$C$10:$E$231,2,FALSE)</f>
        <v>06.1.01.03.13</v>
      </c>
      <c r="H133" s="57" t="str">
        <f>VLOOKUP(F133,[3]Sheet2!$C$10:$E$231,3,FALSE)</f>
        <v>Biaya Representasi - TP</v>
      </c>
      <c r="I133" s="58" t="s">
        <v>423</v>
      </c>
      <c r="J133" s="59" t="s">
        <v>424</v>
      </c>
      <c r="K133" s="21"/>
      <c r="L133" s="21"/>
      <c r="M133" s="16"/>
    </row>
    <row r="134" spans="1:13" ht="17.100000000000001" customHeight="1">
      <c r="A134" s="17">
        <v>46071</v>
      </c>
      <c r="B134" s="55" t="s">
        <v>169</v>
      </c>
      <c r="C134" s="55">
        <v>129</v>
      </c>
      <c r="D134" s="18" t="s">
        <v>195</v>
      </c>
      <c r="E134" s="34">
        <v>405000</v>
      </c>
      <c r="F134" s="26" t="s">
        <v>50</v>
      </c>
      <c r="G134" s="53" t="str">
        <f>VLOOKUP(F134,[3]Sheet2!$C$10:$E$231,2,FALSE)</f>
        <v>06.1.01.06.05</v>
      </c>
      <c r="H134" s="57" t="str">
        <f>VLOOKUP(F134,[3]Sheet2!$C$10:$E$231,3,FALSE)</f>
        <v>Pembelian Bahan Bakar Minyak (BBM) - TP</v>
      </c>
      <c r="I134" s="58" t="s">
        <v>423</v>
      </c>
      <c r="J134" s="59" t="s">
        <v>424</v>
      </c>
      <c r="K134" s="21"/>
      <c r="L134" s="21"/>
      <c r="M134" s="16"/>
    </row>
    <row r="135" spans="1:13" ht="17.100000000000001" customHeight="1">
      <c r="A135" s="17">
        <v>46071</v>
      </c>
      <c r="B135" s="55" t="s">
        <v>169</v>
      </c>
      <c r="C135" s="55">
        <v>130</v>
      </c>
      <c r="D135" s="18" t="s">
        <v>134</v>
      </c>
      <c r="E135" s="34">
        <v>60000</v>
      </c>
      <c r="F135" s="20" t="s">
        <v>71</v>
      </c>
      <c r="G135" s="53" t="str">
        <f>VLOOKUP(F135,[3]Sheet2!$C$10:$E$231,2,FALSE)</f>
        <v>06.1.01.03.11</v>
      </c>
      <c r="H135" s="57" t="str">
        <f>VLOOKUP(F135,[3]Sheet2!$C$10:$E$231,3,FALSE)</f>
        <v>Belanja Fotocopy, Jilid, Laminating dan Materai - TP</v>
      </c>
      <c r="I135" s="58" t="s">
        <v>423</v>
      </c>
      <c r="J135" s="59" t="s">
        <v>424</v>
      </c>
      <c r="K135" s="21"/>
      <c r="L135" s="21"/>
      <c r="M135" s="16"/>
    </row>
    <row r="136" spans="1:13" ht="17.100000000000001" customHeight="1">
      <c r="A136" s="17">
        <v>46071</v>
      </c>
      <c r="B136" s="55" t="s">
        <v>169</v>
      </c>
      <c r="C136" s="55">
        <v>131</v>
      </c>
      <c r="D136" s="18" t="s">
        <v>196</v>
      </c>
      <c r="E136" s="35">
        <v>170000</v>
      </c>
      <c r="F136" s="26" t="s">
        <v>192</v>
      </c>
      <c r="G136" s="53" t="str">
        <f>VLOOKUP(F136,[3]Sheet2!$C$10:$E$231,2,FALSE)</f>
        <v>06.1.01.03.14</v>
      </c>
      <c r="H136" s="57" t="str">
        <f>VLOOKUP(F136,[3]Sheet2!$C$10:$E$231,3,FALSE)</f>
        <v>Perlengkapan kebersihan dan rumah tangga - TP</v>
      </c>
      <c r="I136" s="58" t="s">
        <v>423</v>
      </c>
      <c r="J136" s="59" t="s">
        <v>424</v>
      </c>
      <c r="K136" s="21"/>
      <c r="L136" s="21"/>
      <c r="M136" s="16"/>
    </row>
    <row r="137" spans="1:13" ht="17.100000000000001" customHeight="1">
      <c r="A137" s="17">
        <v>46071</v>
      </c>
      <c r="B137" s="55" t="s">
        <v>169</v>
      </c>
      <c r="C137" s="55">
        <v>132</v>
      </c>
      <c r="D137" s="18" t="s">
        <v>197</v>
      </c>
      <c r="E137" s="34">
        <v>105600</v>
      </c>
      <c r="F137" s="20" t="s">
        <v>192</v>
      </c>
      <c r="G137" s="53" t="str">
        <f>VLOOKUP(F137,[3]Sheet2!$C$10:$E$231,2,FALSE)</f>
        <v>06.1.01.03.14</v>
      </c>
      <c r="H137" s="57" t="str">
        <f>VLOOKUP(F137,[3]Sheet2!$C$10:$E$231,3,FALSE)</f>
        <v>Perlengkapan kebersihan dan rumah tangga - TP</v>
      </c>
      <c r="I137" s="58" t="s">
        <v>423</v>
      </c>
      <c r="J137" s="59" t="s">
        <v>424</v>
      </c>
      <c r="K137" s="21"/>
      <c r="L137" s="21"/>
      <c r="M137" s="16"/>
    </row>
    <row r="138" spans="1:13" ht="17.100000000000001" customHeight="1">
      <c r="A138" s="17">
        <v>46071</v>
      </c>
      <c r="B138" s="55" t="s">
        <v>169</v>
      </c>
      <c r="C138" s="55">
        <v>133</v>
      </c>
      <c r="D138" s="18" t="s">
        <v>198</v>
      </c>
      <c r="E138" s="35">
        <v>181000</v>
      </c>
      <c r="F138" s="26" t="s">
        <v>192</v>
      </c>
      <c r="G138" s="53" t="str">
        <f>VLOOKUP(F138,[3]Sheet2!$C$10:$E$231,2,FALSE)</f>
        <v>06.1.01.03.14</v>
      </c>
      <c r="H138" s="57" t="str">
        <f>VLOOKUP(F138,[3]Sheet2!$C$10:$E$231,3,FALSE)</f>
        <v>Perlengkapan kebersihan dan rumah tangga - TP</v>
      </c>
      <c r="I138" s="58" t="s">
        <v>423</v>
      </c>
      <c r="J138" s="59" t="s">
        <v>424</v>
      </c>
      <c r="K138" s="21"/>
      <c r="L138" s="21"/>
      <c r="M138" s="16"/>
    </row>
    <row r="139" spans="1:13" ht="17.100000000000001" customHeight="1">
      <c r="A139" s="17">
        <v>46071</v>
      </c>
      <c r="B139" s="55" t="s">
        <v>169</v>
      </c>
      <c r="C139" s="55">
        <v>134</v>
      </c>
      <c r="D139" s="18" t="s">
        <v>199</v>
      </c>
      <c r="E139" s="34">
        <v>472500</v>
      </c>
      <c r="F139" s="20" t="s">
        <v>192</v>
      </c>
      <c r="G139" s="53" t="str">
        <f>VLOOKUP(F139,[3]Sheet2!$C$10:$E$231,2,FALSE)</f>
        <v>06.1.01.03.14</v>
      </c>
      <c r="H139" s="57" t="str">
        <f>VLOOKUP(F139,[3]Sheet2!$C$10:$E$231,3,FALSE)</f>
        <v>Perlengkapan kebersihan dan rumah tangga - TP</v>
      </c>
      <c r="I139" s="58" t="s">
        <v>423</v>
      </c>
      <c r="J139" s="59" t="s">
        <v>424</v>
      </c>
      <c r="K139" s="21"/>
      <c r="L139" s="21"/>
      <c r="M139" s="16"/>
    </row>
    <row r="140" spans="1:13" ht="17.100000000000001" customHeight="1">
      <c r="A140" s="17">
        <v>46071</v>
      </c>
      <c r="B140" s="55" t="s">
        <v>169</v>
      </c>
      <c r="C140" s="55">
        <v>135</v>
      </c>
      <c r="D140" s="18" t="s">
        <v>200</v>
      </c>
      <c r="E140" s="35">
        <v>90200</v>
      </c>
      <c r="F140" s="26" t="s">
        <v>192</v>
      </c>
      <c r="G140" s="53" t="str">
        <f>VLOOKUP(F140,[3]Sheet2!$C$10:$E$231,2,FALSE)</f>
        <v>06.1.01.03.14</v>
      </c>
      <c r="H140" s="57" t="str">
        <f>VLOOKUP(F140,[3]Sheet2!$C$10:$E$231,3,FALSE)</f>
        <v>Perlengkapan kebersihan dan rumah tangga - TP</v>
      </c>
      <c r="I140" s="58" t="s">
        <v>423</v>
      </c>
      <c r="J140" s="59" t="s">
        <v>424</v>
      </c>
      <c r="K140" s="21"/>
      <c r="L140" s="21"/>
      <c r="M140" s="16"/>
    </row>
    <row r="141" spans="1:13" ht="17.100000000000001" customHeight="1">
      <c r="A141" s="17">
        <v>46071</v>
      </c>
      <c r="B141" s="55" t="s">
        <v>169</v>
      </c>
      <c r="C141" s="55">
        <v>136</v>
      </c>
      <c r="D141" s="18" t="s">
        <v>201</v>
      </c>
      <c r="E141" s="34">
        <v>496000</v>
      </c>
      <c r="F141" s="20" t="s">
        <v>19</v>
      </c>
      <c r="G141" s="53" t="str">
        <f>VLOOKUP(F141,[3]Sheet2!$C$10:$E$231,2,FALSE)</f>
        <v>06.1.01.03.08</v>
      </c>
      <c r="H141" s="57" t="str">
        <f>VLOOKUP(F141,[3]Sheet2!$C$10:$E$231,3,FALSE)</f>
        <v>Biaya Konsumsi Karyawan - TP</v>
      </c>
      <c r="I141" s="58" t="s">
        <v>423</v>
      </c>
      <c r="J141" s="59" t="s">
        <v>424</v>
      </c>
      <c r="K141" s="21"/>
      <c r="L141" s="21"/>
      <c r="M141" s="16"/>
    </row>
    <row r="142" spans="1:13" ht="17.100000000000001" customHeight="1">
      <c r="A142" s="17">
        <v>46071</v>
      </c>
      <c r="B142" s="55" t="s">
        <v>169</v>
      </c>
      <c r="C142" s="55">
        <v>137</v>
      </c>
      <c r="D142" s="18" t="s">
        <v>202</v>
      </c>
      <c r="E142" s="35">
        <v>1045000</v>
      </c>
      <c r="F142" s="26" t="s">
        <v>192</v>
      </c>
      <c r="G142" s="53" t="str">
        <f>VLOOKUP(F142,[3]Sheet2!$C$10:$E$231,2,FALSE)</f>
        <v>06.1.01.03.14</v>
      </c>
      <c r="H142" s="57" t="str">
        <f>VLOOKUP(F142,[3]Sheet2!$C$10:$E$231,3,FALSE)</f>
        <v>Perlengkapan kebersihan dan rumah tangga - TP</v>
      </c>
      <c r="I142" s="58" t="s">
        <v>423</v>
      </c>
      <c r="J142" s="59" t="s">
        <v>424</v>
      </c>
      <c r="K142" s="21"/>
      <c r="L142" s="21"/>
      <c r="M142" s="16"/>
    </row>
    <row r="143" spans="1:13" ht="17.100000000000001" customHeight="1">
      <c r="A143" s="17">
        <v>46071</v>
      </c>
      <c r="B143" s="55" t="s">
        <v>169</v>
      </c>
      <c r="C143" s="55">
        <v>138</v>
      </c>
      <c r="D143" s="18" t="s">
        <v>203</v>
      </c>
      <c r="E143" s="34">
        <v>130000</v>
      </c>
      <c r="F143" s="20" t="s">
        <v>192</v>
      </c>
      <c r="G143" s="53" t="str">
        <f>VLOOKUP(F143,[3]Sheet2!$C$10:$E$231,2,FALSE)</f>
        <v>06.1.01.03.14</v>
      </c>
      <c r="H143" s="57" t="str">
        <f>VLOOKUP(F143,[3]Sheet2!$C$10:$E$231,3,FALSE)</f>
        <v>Perlengkapan kebersihan dan rumah tangga - TP</v>
      </c>
      <c r="I143" s="58" t="s">
        <v>423</v>
      </c>
      <c r="J143" s="59" t="s">
        <v>424</v>
      </c>
      <c r="K143" s="21"/>
      <c r="L143" s="21"/>
      <c r="M143" s="16"/>
    </row>
    <row r="144" spans="1:13" ht="17.100000000000001" customHeight="1">
      <c r="A144" s="17">
        <v>46071</v>
      </c>
      <c r="B144" s="55" t="s">
        <v>169</v>
      </c>
      <c r="C144" s="55">
        <v>139</v>
      </c>
      <c r="D144" s="18" t="s">
        <v>204</v>
      </c>
      <c r="E144" s="35">
        <v>55000</v>
      </c>
      <c r="F144" s="26" t="s">
        <v>192</v>
      </c>
      <c r="G144" s="53" t="str">
        <f>VLOOKUP(F144,[3]Sheet2!$C$10:$E$231,2,FALSE)</f>
        <v>06.1.01.03.14</v>
      </c>
      <c r="H144" s="57" t="str">
        <f>VLOOKUP(F144,[3]Sheet2!$C$10:$E$231,3,FALSE)</f>
        <v>Perlengkapan kebersihan dan rumah tangga - TP</v>
      </c>
      <c r="I144" s="58" t="s">
        <v>423</v>
      </c>
      <c r="J144" s="59" t="s">
        <v>424</v>
      </c>
      <c r="K144" s="21"/>
      <c r="L144" s="21"/>
      <c r="M144" s="16"/>
    </row>
    <row r="145" spans="1:13" ht="17.100000000000001" customHeight="1">
      <c r="A145" s="17">
        <v>46071</v>
      </c>
      <c r="B145" s="55" t="s">
        <v>169</v>
      </c>
      <c r="C145" s="55">
        <v>140</v>
      </c>
      <c r="D145" s="18" t="s">
        <v>205</v>
      </c>
      <c r="E145" s="34">
        <v>175000</v>
      </c>
      <c r="F145" s="20" t="s">
        <v>192</v>
      </c>
      <c r="G145" s="53" t="str">
        <f>VLOOKUP(F145,[3]Sheet2!$C$10:$E$231,2,FALSE)</f>
        <v>06.1.01.03.14</v>
      </c>
      <c r="H145" s="57" t="str">
        <f>VLOOKUP(F145,[3]Sheet2!$C$10:$E$231,3,FALSE)</f>
        <v>Perlengkapan kebersihan dan rumah tangga - TP</v>
      </c>
      <c r="I145" s="58" t="s">
        <v>423</v>
      </c>
      <c r="J145" s="59" t="s">
        <v>424</v>
      </c>
      <c r="K145" s="21"/>
      <c r="L145" s="21"/>
      <c r="M145" s="16"/>
    </row>
    <row r="146" spans="1:13" ht="17.100000000000001" customHeight="1">
      <c r="A146" s="17">
        <v>46071</v>
      </c>
      <c r="B146" s="55" t="s">
        <v>169</v>
      </c>
      <c r="C146" s="55">
        <v>141</v>
      </c>
      <c r="D146" s="18" t="s">
        <v>49</v>
      </c>
      <c r="E146" s="35">
        <v>354000</v>
      </c>
      <c r="F146" s="26" t="s">
        <v>50</v>
      </c>
      <c r="G146" s="53" t="str">
        <f>VLOOKUP(F146,[3]Sheet2!$C$10:$E$231,2,FALSE)</f>
        <v>06.1.01.06.05</v>
      </c>
      <c r="H146" s="57" t="str">
        <f>VLOOKUP(F146,[3]Sheet2!$C$10:$E$231,3,FALSE)</f>
        <v>Pembelian Bahan Bakar Minyak (BBM) - TP</v>
      </c>
      <c r="I146" s="58" t="s">
        <v>423</v>
      </c>
      <c r="J146" s="59" t="s">
        <v>424</v>
      </c>
      <c r="K146" s="21"/>
      <c r="L146" s="21"/>
      <c r="M146" s="16"/>
    </row>
    <row r="147" spans="1:13" ht="17.100000000000001" customHeight="1">
      <c r="A147" s="17">
        <v>46071</v>
      </c>
      <c r="B147" s="55" t="s">
        <v>169</v>
      </c>
      <c r="C147" s="55">
        <v>142</v>
      </c>
      <c r="D147" s="18" t="s">
        <v>15</v>
      </c>
      <c r="E147" s="34">
        <v>2000</v>
      </c>
      <c r="F147" s="26" t="s">
        <v>9</v>
      </c>
      <c r="G147" s="53" t="str">
        <f>VLOOKUP(F147,[3]Sheet2!$C$10:$E$231,2,FALSE)</f>
        <v>06.1.01.05.02</v>
      </c>
      <c r="H147" s="57" t="str">
        <f>VLOOKUP(F147,[3]Sheet2!$C$10:$E$231,3,FALSE)</f>
        <v>Transport lokal dan parkir - TP</v>
      </c>
      <c r="I147" s="58" t="s">
        <v>423</v>
      </c>
      <c r="J147" s="59" t="s">
        <v>424</v>
      </c>
      <c r="K147" s="21"/>
      <c r="L147" s="21"/>
      <c r="M147" s="16"/>
    </row>
    <row r="148" spans="1:13" ht="17.100000000000001" customHeight="1">
      <c r="A148" s="17">
        <v>46071</v>
      </c>
      <c r="B148" s="55" t="s">
        <v>169</v>
      </c>
      <c r="C148" s="55">
        <v>143</v>
      </c>
      <c r="D148" s="18" t="s">
        <v>15</v>
      </c>
      <c r="E148" s="35">
        <v>4000</v>
      </c>
      <c r="F148" s="26" t="s">
        <v>9</v>
      </c>
      <c r="G148" s="53" t="str">
        <f>VLOOKUP(F148,[3]Sheet2!$C$10:$E$231,2,FALSE)</f>
        <v>06.1.01.05.02</v>
      </c>
      <c r="H148" s="57" t="str">
        <f>VLOOKUP(F148,[3]Sheet2!$C$10:$E$231,3,FALSE)</f>
        <v>Transport lokal dan parkir - TP</v>
      </c>
      <c r="I148" s="58" t="s">
        <v>423</v>
      </c>
      <c r="J148" s="59" t="s">
        <v>424</v>
      </c>
      <c r="K148" s="21"/>
      <c r="L148" s="21"/>
      <c r="M148" s="16"/>
    </row>
    <row r="149" spans="1:13" ht="17.100000000000001" customHeight="1">
      <c r="A149" s="17">
        <v>46071</v>
      </c>
      <c r="B149" s="55" t="s">
        <v>169</v>
      </c>
      <c r="C149" s="55">
        <v>144</v>
      </c>
      <c r="D149" s="18" t="s">
        <v>206</v>
      </c>
      <c r="E149" s="34">
        <v>350000</v>
      </c>
      <c r="F149" s="20" t="s">
        <v>41</v>
      </c>
      <c r="G149" s="53" t="str">
        <f>VLOOKUP(F149,[3]Sheet2!$C$10:$E$231,2,FALSE)</f>
        <v>06.1.01.05.01</v>
      </c>
      <c r="H149" s="57" t="str">
        <f>VLOOKUP(F149,[3]Sheet2!$C$10:$E$231,3,FALSE)</f>
        <v>Perjalanan dinas - TP</v>
      </c>
      <c r="I149" s="58" t="s">
        <v>423</v>
      </c>
      <c r="J149" s="59" t="s">
        <v>424</v>
      </c>
      <c r="K149" s="21"/>
      <c r="L149" s="21"/>
      <c r="M149" s="16"/>
    </row>
    <row r="150" spans="1:13" ht="17.100000000000001" customHeight="1">
      <c r="A150" s="17">
        <v>46071</v>
      </c>
      <c r="B150" s="55" t="s">
        <v>169</v>
      </c>
      <c r="C150" s="55">
        <v>145</v>
      </c>
      <c r="D150" s="18" t="s">
        <v>207</v>
      </c>
      <c r="E150" s="35">
        <v>250000</v>
      </c>
      <c r="F150" s="26" t="s">
        <v>41</v>
      </c>
      <c r="G150" s="53" t="str">
        <f>VLOOKUP(F150,[3]Sheet2!$C$10:$E$231,2,FALSE)</f>
        <v>06.1.01.05.01</v>
      </c>
      <c r="H150" s="57" t="str">
        <f>VLOOKUP(F150,[3]Sheet2!$C$10:$E$231,3,FALSE)</f>
        <v>Perjalanan dinas - TP</v>
      </c>
      <c r="I150" s="58" t="s">
        <v>423</v>
      </c>
      <c r="J150" s="59" t="s">
        <v>424</v>
      </c>
      <c r="K150" s="21"/>
      <c r="L150" s="21"/>
      <c r="M150" s="16"/>
    </row>
    <row r="151" spans="1:13" ht="17.100000000000001" customHeight="1">
      <c r="A151" s="17">
        <v>46071</v>
      </c>
      <c r="B151" s="55" t="s">
        <v>169</v>
      </c>
      <c r="C151" s="55">
        <v>146</v>
      </c>
      <c r="D151" s="18" t="s">
        <v>149</v>
      </c>
      <c r="E151" s="33">
        <v>162500</v>
      </c>
      <c r="F151" s="26" t="s">
        <v>150</v>
      </c>
      <c r="G151" s="53" t="str">
        <f>VLOOKUP(F151,[3]Sheet2!$C$10:$E$231,2,FALSE)</f>
        <v>06.1.01.06.03</v>
      </c>
      <c r="H151" s="57" t="str">
        <f>VLOOKUP(F151,[3]Sheet2!$C$10:$E$231,3,FALSE)</f>
        <v>Biaya PDAM - TP</v>
      </c>
      <c r="I151" s="58" t="s">
        <v>423</v>
      </c>
      <c r="J151" s="59" t="s">
        <v>424</v>
      </c>
      <c r="K151" s="21"/>
      <c r="L151" s="21"/>
      <c r="M151" s="16"/>
    </row>
    <row r="152" spans="1:13" ht="17.100000000000001" customHeight="1">
      <c r="A152" s="17">
        <v>46071</v>
      </c>
      <c r="B152" s="55" t="s">
        <v>169</v>
      </c>
      <c r="C152" s="55">
        <v>147</v>
      </c>
      <c r="D152" s="18" t="s">
        <v>149</v>
      </c>
      <c r="E152" s="33">
        <v>162500</v>
      </c>
      <c r="F152" s="26" t="s">
        <v>150</v>
      </c>
      <c r="G152" s="53" t="str">
        <f>VLOOKUP(F152,[3]Sheet2!$C$10:$E$231,2,FALSE)</f>
        <v>06.1.01.06.03</v>
      </c>
      <c r="H152" s="57" t="str">
        <f>VLOOKUP(F152,[3]Sheet2!$C$10:$E$231,3,FALSE)</f>
        <v>Biaya PDAM - TP</v>
      </c>
      <c r="I152" s="58" t="s">
        <v>423</v>
      </c>
      <c r="J152" s="59" t="s">
        <v>424</v>
      </c>
      <c r="K152" s="21"/>
      <c r="L152" s="21"/>
      <c r="M152" s="16"/>
    </row>
    <row r="153" spans="1:13" ht="17.100000000000001" customHeight="1">
      <c r="A153" s="17">
        <v>46071</v>
      </c>
      <c r="B153" s="55" t="s">
        <v>169</v>
      </c>
      <c r="C153" s="55">
        <v>148</v>
      </c>
      <c r="D153" s="18" t="s">
        <v>208</v>
      </c>
      <c r="E153" s="33">
        <v>67000</v>
      </c>
      <c r="F153" s="26" t="s">
        <v>17</v>
      </c>
      <c r="G153" s="53" t="str">
        <f>VLOOKUP(F153,[3]Sheet2!$C$10:$E$231,2,FALSE)</f>
        <v>06.1.01.06.02</v>
      </c>
      <c r="H153" s="57" t="str">
        <f>VLOOKUP(F153,[3]Sheet2!$C$10:$E$231,3,FALSE)</f>
        <v>Biaya telepon/fax/internet - TP</v>
      </c>
      <c r="I153" s="58" t="s">
        <v>423</v>
      </c>
      <c r="J153" s="59" t="s">
        <v>424</v>
      </c>
      <c r="K153" s="21"/>
      <c r="L153" s="21"/>
      <c r="M153" s="16"/>
    </row>
    <row r="154" spans="1:13" ht="17.100000000000001" customHeight="1">
      <c r="A154" s="17">
        <v>46071</v>
      </c>
      <c r="B154" s="55" t="s">
        <v>169</v>
      </c>
      <c r="C154" s="55">
        <v>149</v>
      </c>
      <c r="D154" s="18" t="s">
        <v>208</v>
      </c>
      <c r="E154" s="33">
        <v>67000</v>
      </c>
      <c r="F154" s="26" t="s">
        <v>17</v>
      </c>
      <c r="G154" s="53" t="str">
        <f>VLOOKUP(F154,[3]Sheet2!$C$10:$E$231,2,FALSE)</f>
        <v>06.1.01.06.02</v>
      </c>
      <c r="H154" s="57" t="str">
        <f>VLOOKUP(F154,[3]Sheet2!$C$10:$E$231,3,FALSE)</f>
        <v>Biaya telepon/fax/internet - TP</v>
      </c>
      <c r="I154" s="58" t="s">
        <v>423</v>
      </c>
      <c r="J154" s="59" t="s">
        <v>424</v>
      </c>
      <c r="K154" s="21"/>
      <c r="L154" s="21"/>
      <c r="M154" s="16"/>
    </row>
    <row r="155" spans="1:13" ht="17.100000000000001" customHeight="1">
      <c r="A155" s="17">
        <v>46071</v>
      </c>
      <c r="B155" s="55" t="s">
        <v>169</v>
      </c>
      <c r="C155" s="55">
        <v>150</v>
      </c>
      <c r="D155" s="18" t="s">
        <v>208</v>
      </c>
      <c r="E155" s="33">
        <v>67000</v>
      </c>
      <c r="F155" s="26" t="s">
        <v>17</v>
      </c>
      <c r="G155" s="53" t="str">
        <f>VLOOKUP(F155,[3]Sheet2!$C$10:$E$231,2,FALSE)</f>
        <v>06.1.01.06.02</v>
      </c>
      <c r="H155" s="57" t="str">
        <f>VLOOKUP(F155,[3]Sheet2!$C$10:$E$231,3,FALSE)</f>
        <v>Biaya telepon/fax/internet - TP</v>
      </c>
      <c r="I155" s="58" t="s">
        <v>423</v>
      </c>
      <c r="J155" s="59" t="s">
        <v>424</v>
      </c>
      <c r="K155" s="21"/>
      <c r="L155" s="21"/>
      <c r="M155" s="16"/>
    </row>
    <row r="156" spans="1:13" ht="17.100000000000001" customHeight="1">
      <c r="A156" s="17">
        <v>46071</v>
      </c>
      <c r="B156" s="55" t="s">
        <v>169</v>
      </c>
      <c r="C156" s="55">
        <v>151</v>
      </c>
      <c r="D156" s="18" t="s">
        <v>209</v>
      </c>
      <c r="E156" s="33">
        <v>350000</v>
      </c>
      <c r="F156" s="26" t="s">
        <v>41</v>
      </c>
      <c r="G156" s="53" t="str">
        <f>VLOOKUP(F156,[3]Sheet2!$C$10:$E$231,2,FALSE)</f>
        <v>06.1.01.05.01</v>
      </c>
      <c r="H156" s="57" t="str">
        <f>VLOOKUP(F156,[3]Sheet2!$C$10:$E$231,3,FALSE)</f>
        <v>Perjalanan dinas - TP</v>
      </c>
      <c r="I156" s="58" t="s">
        <v>423</v>
      </c>
      <c r="J156" s="59" t="s">
        <v>424</v>
      </c>
      <c r="K156" s="21"/>
      <c r="L156" s="21"/>
      <c r="M156" s="16"/>
    </row>
    <row r="157" spans="1:13" ht="17.100000000000001" customHeight="1">
      <c r="A157" s="17">
        <v>46071</v>
      </c>
      <c r="B157" s="55" t="s">
        <v>169</v>
      </c>
      <c r="C157" s="55">
        <v>152</v>
      </c>
      <c r="D157" s="18" t="s">
        <v>210</v>
      </c>
      <c r="E157" s="33">
        <v>250000</v>
      </c>
      <c r="F157" s="26" t="s">
        <v>41</v>
      </c>
      <c r="G157" s="53" t="str">
        <f>VLOOKUP(F157,[3]Sheet2!$C$10:$E$231,2,FALSE)</f>
        <v>06.1.01.05.01</v>
      </c>
      <c r="H157" s="57" t="str">
        <f>VLOOKUP(F157,[3]Sheet2!$C$10:$E$231,3,FALSE)</f>
        <v>Perjalanan dinas - TP</v>
      </c>
      <c r="I157" s="58" t="s">
        <v>423</v>
      </c>
      <c r="J157" s="59" t="s">
        <v>424</v>
      </c>
      <c r="K157" s="21"/>
      <c r="L157" s="21"/>
      <c r="M157" s="16"/>
    </row>
    <row r="158" spans="1:13" ht="17.100000000000001" customHeight="1">
      <c r="A158" s="17">
        <v>46071</v>
      </c>
      <c r="B158" s="55" t="s">
        <v>169</v>
      </c>
      <c r="C158" s="55">
        <v>153</v>
      </c>
      <c r="D158" s="18" t="s">
        <v>211</v>
      </c>
      <c r="E158" s="33">
        <v>35000</v>
      </c>
      <c r="F158" s="26" t="s">
        <v>212</v>
      </c>
      <c r="G158" s="53" t="str">
        <f>VLOOKUP(F158,[3]Sheet2!$C$10:$E$231,2,FALSE)</f>
        <v>06.1.01.04.04</v>
      </c>
      <c r="H158" s="57" t="str">
        <f>VLOOKUP(F158,[3]Sheet2!$C$10:$E$231,3,FALSE)</f>
        <v>Pemeliharaan Kendaraan - TP</v>
      </c>
      <c r="I158" s="58" t="s">
        <v>423</v>
      </c>
      <c r="J158" s="59" t="s">
        <v>424</v>
      </c>
      <c r="K158" s="21"/>
      <c r="L158" s="21"/>
      <c r="M158" s="16"/>
    </row>
    <row r="159" spans="1:13" ht="17.100000000000001" customHeight="1">
      <c r="A159" s="17">
        <v>46071</v>
      </c>
      <c r="B159" s="55" t="s">
        <v>169</v>
      </c>
      <c r="C159" s="55">
        <v>154</v>
      </c>
      <c r="D159" s="18" t="s">
        <v>213</v>
      </c>
      <c r="E159" s="33">
        <v>20000</v>
      </c>
      <c r="F159" s="26" t="s">
        <v>50</v>
      </c>
      <c r="G159" s="53" t="str">
        <f>VLOOKUP(F159,[3]Sheet2!$C$10:$E$231,2,FALSE)</f>
        <v>06.1.01.06.05</v>
      </c>
      <c r="H159" s="57" t="str">
        <f>VLOOKUP(F159,[3]Sheet2!$C$10:$E$231,3,FALSE)</f>
        <v>Pembelian Bahan Bakar Minyak (BBM) - TP</v>
      </c>
      <c r="I159" s="58" t="s">
        <v>423</v>
      </c>
      <c r="J159" s="59" t="s">
        <v>424</v>
      </c>
      <c r="K159" s="21"/>
      <c r="L159" s="21"/>
      <c r="M159" s="16"/>
    </row>
    <row r="160" spans="1:13" ht="17.100000000000001" customHeight="1">
      <c r="A160" s="17">
        <v>46071</v>
      </c>
      <c r="B160" s="55" t="s">
        <v>169</v>
      </c>
      <c r="C160" s="55">
        <v>155</v>
      </c>
      <c r="D160" s="18" t="s">
        <v>214</v>
      </c>
      <c r="E160" s="33">
        <v>500000</v>
      </c>
      <c r="F160" s="26" t="s">
        <v>41</v>
      </c>
      <c r="G160" s="53" t="str">
        <f>VLOOKUP(F160,[3]Sheet2!$C$10:$E$231,2,FALSE)</f>
        <v>06.1.01.05.01</v>
      </c>
      <c r="H160" s="57" t="str">
        <f>VLOOKUP(F160,[3]Sheet2!$C$10:$E$231,3,FALSE)</f>
        <v>Perjalanan dinas - TP</v>
      </c>
      <c r="I160" s="58" t="s">
        <v>423</v>
      </c>
      <c r="J160" s="59" t="s">
        <v>424</v>
      </c>
      <c r="K160" s="21"/>
      <c r="L160" s="21"/>
      <c r="M160" s="16"/>
    </row>
    <row r="161" spans="1:13" ht="17.100000000000001" customHeight="1">
      <c r="A161" s="17">
        <v>46071</v>
      </c>
      <c r="B161" s="55" t="s">
        <v>169</v>
      </c>
      <c r="C161" s="55">
        <v>156</v>
      </c>
      <c r="D161" s="18" t="s">
        <v>215</v>
      </c>
      <c r="E161" s="33">
        <v>500000</v>
      </c>
      <c r="F161" s="26" t="s">
        <v>194</v>
      </c>
      <c r="G161" s="53" t="str">
        <f>VLOOKUP(F161,[3]Sheet2!$C$10:$E$231,2,FALSE)</f>
        <v>06.1.01.03.13</v>
      </c>
      <c r="H161" s="57" t="str">
        <f>VLOOKUP(F161,[3]Sheet2!$C$10:$E$231,3,FALSE)</f>
        <v>Biaya Representasi - TP</v>
      </c>
      <c r="I161" s="58" t="s">
        <v>423</v>
      </c>
      <c r="J161" s="59" t="s">
        <v>424</v>
      </c>
      <c r="K161" s="21"/>
      <c r="L161" s="21"/>
      <c r="M161" s="16"/>
    </row>
    <row r="162" spans="1:13" ht="17.100000000000001" customHeight="1">
      <c r="A162" s="17">
        <v>46071</v>
      </c>
      <c r="B162" s="55" t="s">
        <v>169</v>
      </c>
      <c r="C162" s="55">
        <v>157</v>
      </c>
      <c r="D162" s="18" t="s">
        <v>216</v>
      </c>
      <c r="E162" s="33">
        <v>300000</v>
      </c>
      <c r="F162" s="26" t="s">
        <v>41</v>
      </c>
      <c r="G162" s="53" t="str">
        <f>VLOOKUP(F162,[3]Sheet2!$C$10:$E$231,2,FALSE)</f>
        <v>06.1.01.05.01</v>
      </c>
      <c r="H162" s="57" t="str">
        <f>VLOOKUP(F162,[3]Sheet2!$C$10:$E$231,3,FALSE)</f>
        <v>Perjalanan dinas - TP</v>
      </c>
      <c r="I162" s="58" t="s">
        <v>423</v>
      </c>
      <c r="J162" s="59" t="s">
        <v>424</v>
      </c>
      <c r="K162" s="21"/>
      <c r="L162" s="21"/>
      <c r="M162" s="16"/>
    </row>
    <row r="163" spans="1:13" ht="17.100000000000001" customHeight="1">
      <c r="A163" s="17">
        <v>46071</v>
      </c>
      <c r="B163" s="55" t="s">
        <v>169</v>
      </c>
      <c r="C163" s="55">
        <v>158</v>
      </c>
      <c r="D163" s="18" t="s">
        <v>217</v>
      </c>
      <c r="E163" s="33">
        <v>42000</v>
      </c>
      <c r="F163" s="26" t="s">
        <v>19</v>
      </c>
      <c r="G163" s="53" t="str">
        <f>VLOOKUP(F163,[3]Sheet2!$C$10:$E$231,2,FALSE)</f>
        <v>06.1.01.03.08</v>
      </c>
      <c r="H163" s="57" t="str">
        <f>VLOOKUP(F163,[3]Sheet2!$C$10:$E$231,3,FALSE)</f>
        <v>Biaya Konsumsi Karyawan - TP</v>
      </c>
      <c r="I163" s="58" t="s">
        <v>423</v>
      </c>
      <c r="J163" s="59" t="s">
        <v>424</v>
      </c>
      <c r="K163" s="21"/>
      <c r="L163" s="21"/>
      <c r="M163" s="16"/>
    </row>
    <row r="164" spans="1:13" ht="17.100000000000001" customHeight="1">
      <c r="A164" s="17">
        <v>46071</v>
      </c>
      <c r="B164" s="55" t="s">
        <v>169</v>
      </c>
      <c r="C164" s="55">
        <v>159</v>
      </c>
      <c r="D164" s="18" t="s">
        <v>218</v>
      </c>
      <c r="E164" s="33">
        <v>96000</v>
      </c>
      <c r="F164" s="26" t="s">
        <v>19</v>
      </c>
      <c r="G164" s="53" t="str">
        <f>VLOOKUP(F164,[3]Sheet2!$C$10:$E$231,2,FALSE)</f>
        <v>06.1.01.03.08</v>
      </c>
      <c r="H164" s="57" t="str">
        <f>VLOOKUP(F164,[3]Sheet2!$C$10:$E$231,3,FALSE)</f>
        <v>Biaya Konsumsi Karyawan - TP</v>
      </c>
      <c r="I164" s="58" t="s">
        <v>423</v>
      </c>
      <c r="J164" s="59" t="s">
        <v>424</v>
      </c>
      <c r="K164" s="21"/>
      <c r="L164" s="21"/>
      <c r="M164" s="16"/>
    </row>
    <row r="165" spans="1:13" ht="17.100000000000001" customHeight="1">
      <c r="A165" s="17">
        <v>46071</v>
      </c>
      <c r="B165" s="55" t="s">
        <v>169</v>
      </c>
      <c r="C165" s="55">
        <v>160</v>
      </c>
      <c r="D165" s="18" t="s">
        <v>218</v>
      </c>
      <c r="E165" s="33">
        <v>88000</v>
      </c>
      <c r="F165" s="26" t="s">
        <v>19</v>
      </c>
      <c r="G165" s="53" t="str">
        <f>VLOOKUP(F165,[3]Sheet2!$C$10:$E$231,2,FALSE)</f>
        <v>06.1.01.03.08</v>
      </c>
      <c r="H165" s="57" t="str">
        <f>VLOOKUP(F165,[3]Sheet2!$C$10:$E$231,3,FALSE)</f>
        <v>Biaya Konsumsi Karyawan - TP</v>
      </c>
      <c r="I165" s="58" t="s">
        <v>423</v>
      </c>
      <c r="J165" s="59" t="s">
        <v>424</v>
      </c>
      <c r="K165" s="21"/>
      <c r="L165" s="21"/>
      <c r="M165" s="16"/>
    </row>
    <row r="166" spans="1:13" ht="17.100000000000001" customHeight="1">
      <c r="A166" s="17">
        <v>46071</v>
      </c>
      <c r="B166" s="55" t="s">
        <v>169</v>
      </c>
      <c r="C166" s="55">
        <v>161</v>
      </c>
      <c r="D166" s="18" t="s">
        <v>219</v>
      </c>
      <c r="E166" s="25">
        <v>80000</v>
      </c>
      <c r="F166" s="26" t="s">
        <v>19</v>
      </c>
      <c r="G166" s="53" t="str">
        <f>VLOOKUP(F166,[3]Sheet2!$C$10:$E$231,2,FALSE)</f>
        <v>06.1.01.03.08</v>
      </c>
      <c r="H166" s="57" t="str">
        <f>VLOOKUP(F166,[3]Sheet2!$C$10:$E$231,3,FALSE)</f>
        <v>Biaya Konsumsi Karyawan - TP</v>
      </c>
      <c r="I166" s="58" t="s">
        <v>423</v>
      </c>
      <c r="J166" s="59" t="s">
        <v>424</v>
      </c>
      <c r="K166" s="21"/>
      <c r="L166" s="21"/>
      <c r="M166" s="16"/>
    </row>
    <row r="167" spans="1:13" ht="17.100000000000001" customHeight="1">
      <c r="A167" s="17">
        <v>46071</v>
      </c>
      <c r="B167" s="55" t="s">
        <v>169</v>
      </c>
      <c r="C167" s="55">
        <v>162</v>
      </c>
      <c r="D167" s="18" t="s">
        <v>218</v>
      </c>
      <c r="E167" s="33">
        <v>260000</v>
      </c>
      <c r="F167" s="26" t="s">
        <v>19</v>
      </c>
      <c r="G167" s="53" t="str">
        <f>VLOOKUP(F167,[3]Sheet2!$C$10:$E$231,2,FALSE)</f>
        <v>06.1.01.03.08</v>
      </c>
      <c r="H167" s="57" t="str">
        <f>VLOOKUP(F167,[3]Sheet2!$C$10:$E$231,3,FALSE)</f>
        <v>Biaya Konsumsi Karyawan - TP</v>
      </c>
      <c r="I167" s="58" t="s">
        <v>423</v>
      </c>
      <c r="J167" s="59" t="s">
        <v>424</v>
      </c>
      <c r="K167" s="21"/>
      <c r="L167" s="21"/>
      <c r="M167" s="16"/>
    </row>
    <row r="168" spans="1:13" ht="17.100000000000001" customHeight="1">
      <c r="A168" s="17">
        <v>46071</v>
      </c>
      <c r="B168" s="55" t="s">
        <v>169</v>
      </c>
      <c r="C168" s="55">
        <v>163</v>
      </c>
      <c r="D168" s="18" t="s">
        <v>220</v>
      </c>
      <c r="E168" s="34">
        <v>55000</v>
      </c>
      <c r="F168" s="26" t="s">
        <v>19</v>
      </c>
      <c r="G168" s="53" t="str">
        <f>VLOOKUP(F168,[3]Sheet2!$C$10:$E$231,2,FALSE)</f>
        <v>06.1.01.03.08</v>
      </c>
      <c r="H168" s="57" t="str">
        <f>VLOOKUP(F168,[3]Sheet2!$C$10:$E$231,3,FALSE)</f>
        <v>Biaya Konsumsi Karyawan - TP</v>
      </c>
      <c r="I168" s="58" t="s">
        <v>423</v>
      </c>
      <c r="J168" s="59" t="s">
        <v>424</v>
      </c>
      <c r="K168" s="21"/>
      <c r="L168" s="21"/>
      <c r="M168" s="16"/>
    </row>
    <row r="169" spans="1:13" ht="17.100000000000001" customHeight="1">
      <c r="A169" s="17">
        <v>46071</v>
      </c>
      <c r="B169" s="55" t="s">
        <v>169</v>
      </c>
      <c r="C169" s="55">
        <v>164</v>
      </c>
      <c r="D169" s="18" t="s">
        <v>220</v>
      </c>
      <c r="E169" s="33">
        <v>20000</v>
      </c>
      <c r="F169" s="26" t="s">
        <v>19</v>
      </c>
      <c r="G169" s="53" t="str">
        <f>VLOOKUP(F169,[3]Sheet2!$C$10:$E$231,2,FALSE)</f>
        <v>06.1.01.03.08</v>
      </c>
      <c r="H169" s="57" t="str">
        <f>VLOOKUP(F169,[3]Sheet2!$C$10:$E$231,3,FALSE)</f>
        <v>Biaya Konsumsi Karyawan - TP</v>
      </c>
      <c r="I169" s="58" t="s">
        <v>423</v>
      </c>
      <c r="J169" s="59" t="s">
        <v>424</v>
      </c>
      <c r="K169" s="21"/>
      <c r="L169" s="21"/>
      <c r="M169" s="16"/>
    </row>
    <row r="170" spans="1:13" ht="17.100000000000001" customHeight="1">
      <c r="A170" s="17">
        <v>46071</v>
      </c>
      <c r="B170" s="55" t="s">
        <v>169</v>
      </c>
      <c r="C170" s="55">
        <v>165</v>
      </c>
      <c r="D170" s="18" t="s">
        <v>220</v>
      </c>
      <c r="E170" s="34">
        <v>248000</v>
      </c>
      <c r="F170" s="26" t="s">
        <v>19</v>
      </c>
      <c r="G170" s="53" t="str">
        <f>VLOOKUP(F170,[3]Sheet2!$C$10:$E$231,2,FALSE)</f>
        <v>06.1.01.03.08</v>
      </c>
      <c r="H170" s="57" t="str">
        <f>VLOOKUP(F170,[3]Sheet2!$C$10:$E$231,3,FALSE)</f>
        <v>Biaya Konsumsi Karyawan - TP</v>
      </c>
      <c r="I170" s="58" t="s">
        <v>423</v>
      </c>
      <c r="J170" s="59" t="s">
        <v>424</v>
      </c>
      <c r="K170" s="21"/>
      <c r="L170" s="21"/>
      <c r="M170" s="16"/>
    </row>
    <row r="171" spans="1:13" ht="17.100000000000001" customHeight="1">
      <c r="A171" s="17">
        <v>46071</v>
      </c>
      <c r="B171" s="55" t="s">
        <v>169</v>
      </c>
      <c r="C171" s="55">
        <v>166</v>
      </c>
      <c r="D171" s="18" t="s">
        <v>220</v>
      </c>
      <c r="E171" s="25">
        <v>440000</v>
      </c>
      <c r="F171" s="26" t="s">
        <v>19</v>
      </c>
      <c r="G171" s="53" t="str">
        <f>VLOOKUP(F171,[3]Sheet2!$C$10:$E$231,2,FALSE)</f>
        <v>06.1.01.03.08</v>
      </c>
      <c r="H171" s="57" t="str">
        <f>VLOOKUP(F171,[3]Sheet2!$C$10:$E$231,3,FALSE)</f>
        <v>Biaya Konsumsi Karyawan - TP</v>
      </c>
      <c r="I171" s="58" t="s">
        <v>423</v>
      </c>
      <c r="J171" s="59" t="s">
        <v>424</v>
      </c>
      <c r="K171" s="21"/>
      <c r="L171" s="21"/>
      <c r="M171" s="16"/>
    </row>
    <row r="172" spans="1:13" ht="17.100000000000001" customHeight="1">
      <c r="A172" s="17">
        <v>46071</v>
      </c>
      <c r="B172" s="55" t="s">
        <v>169</v>
      </c>
      <c r="C172" s="55">
        <v>167</v>
      </c>
      <c r="D172" s="18" t="s">
        <v>221</v>
      </c>
      <c r="E172" s="34">
        <v>200000</v>
      </c>
      <c r="F172" s="26" t="s">
        <v>19</v>
      </c>
      <c r="G172" s="53" t="str">
        <f>VLOOKUP(F172,[3]Sheet2!$C$10:$E$231,2,FALSE)</f>
        <v>06.1.01.03.08</v>
      </c>
      <c r="H172" s="57" t="str">
        <f>VLOOKUP(F172,[3]Sheet2!$C$10:$E$231,3,FALSE)</f>
        <v>Biaya Konsumsi Karyawan - TP</v>
      </c>
      <c r="I172" s="58" t="s">
        <v>423</v>
      </c>
      <c r="J172" s="59" t="s">
        <v>424</v>
      </c>
      <c r="K172" s="21"/>
      <c r="L172" s="21"/>
      <c r="M172" s="16"/>
    </row>
    <row r="173" spans="1:13" ht="17.100000000000001" customHeight="1">
      <c r="A173" s="17">
        <v>46071</v>
      </c>
      <c r="B173" s="55" t="s">
        <v>169</v>
      </c>
      <c r="C173" s="55">
        <v>168</v>
      </c>
      <c r="D173" s="18" t="s">
        <v>221</v>
      </c>
      <c r="E173" s="25">
        <v>176000</v>
      </c>
      <c r="F173" s="26" t="s">
        <v>19</v>
      </c>
      <c r="G173" s="53" t="str">
        <f>VLOOKUP(F173,[3]Sheet2!$C$10:$E$231,2,FALSE)</f>
        <v>06.1.01.03.08</v>
      </c>
      <c r="H173" s="57" t="str">
        <f>VLOOKUP(F173,[3]Sheet2!$C$10:$E$231,3,FALSE)</f>
        <v>Biaya Konsumsi Karyawan - TP</v>
      </c>
      <c r="I173" s="58" t="s">
        <v>423</v>
      </c>
      <c r="J173" s="59" t="s">
        <v>424</v>
      </c>
      <c r="K173" s="21"/>
      <c r="L173" s="21"/>
      <c r="M173" s="16"/>
    </row>
    <row r="174" spans="1:13" ht="17.100000000000001" customHeight="1">
      <c r="A174" s="17">
        <v>46071</v>
      </c>
      <c r="B174" s="55" t="s">
        <v>169</v>
      </c>
      <c r="C174" s="55">
        <v>169</v>
      </c>
      <c r="D174" s="18" t="s">
        <v>217</v>
      </c>
      <c r="E174" s="34">
        <v>35000</v>
      </c>
      <c r="F174" s="26" t="s">
        <v>19</v>
      </c>
      <c r="G174" s="53" t="str">
        <f>VLOOKUP(F174,[3]Sheet2!$C$10:$E$231,2,FALSE)</f>
        <v>06.1.01.03.08</v>
      </c>
      <c r="H174" s="57" t="str">
        <f>VLOOKUP(F174,[3]Sheet2!$C$10:$E$231,3,FALSE)</f>
        <v>Biaya Konsumsi Karyawan - TP</v>
      </c>
      <c r="I174" s="58" t="s">
        <v>423</v>
      </c>
      <c r="J174" s="59" t="s">
        <v>424</v>
      </c>
      <c r="K174" s="21"/>
      <c r="L174" s="21"/>
      <c r="M174" s="16"/>
    </row>
    <row r="175" spans="1:13" ht="17.100000000000001" customHeight="1">
      <c r="A175" s="17">
        <v>46071</v>
      </c>
      <c r="B175" s="55" t="s">
        <v>169</v>
      </c>
      <c r="C175" s="55">
        <v>170</v>
      </c>
      <c r="D175" s="18" t="s">
        <v>219</v>
      </c>
      <c r="E175" s="36">
        <v>52500</v>
      </c>
      <c r="F175" s="26" t="s">
        <v>19</v>
      </c>
      <c r="G175" s="53" t="str">
        <f>VLOOKUP(F175,[3]Sheet2!$C$10:$E$231,2,FALSE)</f>
        <v>06.1.01.03.08</v>
      </c>
      <c r="H175" s="57" t="str">
        <f>VLOOKUP(F175,[3]Sheet2!$C$10:$E$231,3,FALSE)</f>
        <v>Biaya Konsumsi Karyawan - TP</v>
      </c>
      <c r="I175" s="58" t="s">
        <v>423</v>
      </c>
      <c r="J175" s="59" t="s">
        <v>424</v>
      </c>
      <c r="K175" s="21"/>
      <c r="L175" s="21"/>
      <c r="M175" s="16"/>
    </row>
    <row r="176" spans="1:13" ht="17.100000000000001" customHeight="1">
      <c r="A176" s="17">
        <v>46071</v>
      </c>
      <c r="B176" s="55" t="s">
        <v>169</v>
      </c>
      <c r="C176" s="55">
        <v>171</v>
      </c>
      <c r="D176" s="18" t="s">
        <v>219</v>
      </c>
      <c r="E176" s="34">
        <v>200000</v>
      </c>
      <c r="F176" s="26" t="s">
        <v>19</v>
      </c>
      <c r="G176" s="53" t="str">
        <f>VLOOKUP(F176,[3]Sheet2!$C$10:$E$231,2,FALSE)</f>
        <v>06.1.01.03.08</v>
      </c>
      <c r="H176" s="57" t="str">
        <f>VLOOKUP(F176,[3]Sheet2!$C$10:$E$231,3,FALSE)</f>
        <v>Biaya Konsumsi Karyawan - TP</v>
      </c>
      <c r="I176" s="58" t="s">
        <v>423</v>
      </c>
      <c r="J176" s="59" t="s">
        <v>424</v>
      </c>
      <c r="K176" s="21"/>
      <c r="L176" s="21"/>
      <c r="M176" s="16"/>
    </row>
    <row r="177" spans="1:13" ht="17.100000000000001" customHeight="1">
      <c r="A177" s="17">
        <v>46071</v>
      </c>
      <c r="B177" s="55" t="s">
        <v>169</v>
      </c>
      <c r="C177" s="55">
        <v>172</v>
      </c>
      <c r="D177" s="18" t="s">
        <v>34</v>
      </c>
      <c r="E177" s="37">
        <v>96000</v>
      </c>
      <c r="F177" s="26" t="s">
        <v>19</v>
      </c>
      <c r="G177" s="53" t="str">
        <f>VLOOKUP(F177,[3]Sheet2!$C$10:$E$231,2,FALSE)</f>
        <v>06.1.01.03.08</v>
      </c>
      <c r="H177" s="57" t="str">
        <f>VLOOKUP(F177,[3]Sheet2!$C$10:$E$231,3,FALSE)</f>
        <v>Biaya Konsumsi Karyawan - TP</v>
      </c>
      <c r="I177" s="58" t="s">
        <v>423</v>
      </c>
      <c r="J177" s="59" t="s">
        <v>424</v>
      </c>
      <c r="K177" s="21"/>
      <c r="L177" s="21"/>
      <c r="M177" s="16"/>
    </row>
    <row r="178" spans="1:13" ht="17.100000000000001" customHeight="1">
      <c r="A178" s="17">
        <v>46071</v>
      </c>
      <c r="B178" s="55" t="s">
        <v>169</v>
      </c>
      <c r="C178" s="55">
        <v>173</v>
      </c>
      <c r="D178" s="18" t="s">
        <v>222</v>
      </c>
      <c r="E178" s="37">
        <v>80000</v>
      </c>
      <c r="F178" s="26" t="s">
        <v>19</v>
      </c>
      <c r="G178" s="53" t="str">
        <f>VLOOKUP(F178,[3]Sheet2!$C$10:$E$231,2,FALSE)</f>
        <v>06.1.01.03.08</v>
      </c>
      <c r="H178" s="57" t="str">
        <f>VLOOKUP(F178,[3]Sheet2!$C$10:$E$231,3,FALSE)</f>
        <v>Biaya Konsumsi Karyawan - TP</v>
      </c>
      <c r="I178" s="58" t="s">
        <v>423</v>
      </c>
      <c r="J178" s="59" t="s">
        <v>424</v>
      </c>
      <c r="K178" s="21"/>
      <c r="L178" s="21"/>
      <c r="M178" s="16"/>
    </row>
    <row r="179" spans="1:13" ht="17.100000000000001" customHeight="1">
      <c r="A179" s="17">
        <v>46071</v>
      </c>
      <c r="B179" s="55" t="s">
        <v>169</v>
      </c>
      <c r="C179" s="55">
        <v>174</v>
      </c>
      <c r="D179" s="18" t="s">
        <v>223</v>
      </c>
      <c r="E179" s="37">
        <v>104500</v>
      </c>
      <c r="F179" s="26" t="s">
        <v>19</v>
      </c>
      <c r="G179" s="53" t="str">
        <f>VLOOKUP(F179,[3]Sheet2!$C$10:$E$231,2,FALSE)</f>
        <v>06.1.01.03.08</v>
      </c>
      <c r="H179" s="57" t="str">
        <f>VLOOKUP(F179,[3]Sheet2!$C$10:$E$231,3,FALSE)</f>
        <v>Biaya Konsumsi Karyawan - TP</v>
      </c>
      <c r="I179" s="58" t="s">
        <v>423</v>
      </c>
      <c r="J179" s="59" t="s">
        <v>424</v>
      </c>
      <c r="K179" s="21"/>
      <c r="L179" s="21"/>
      <c r="M179" s="16"/>
    </row>
    <row r="180" spans="1:13" ht="17.100000000000001" customHeight="1">
      <c r="A180" s="17">
        <v>46071</v>
      </c>
      <c r="B180" s="55" t="s">
        <v>169</v>
      </c>
      <c r="C180" s="55">
        <v>175</v>
      </c>
      <c r="D180" s="18" t="s">
        <v>188</v>
      </c>
      <c r="E180" s="34">
        <v>80000</v>
      </c>
      <c r="F180" s="26" t="s">
        <v>19</v>
      </c>
      <c r="G180" s="53" t="str">
        <f>VLOOKUP(F180,[3]Sheet2!$C$10:$E$231,2,FALSE)</f>
        <v>06.1.01.03.08</v>
      </c>
      <c r="H180" s="57" t="str">
        <f>VLOOKUP(F180,[3]Sheet2!$C$10:$E$231,3,FALSE)</f>
        <v>Biaya Konsumsi Karyawan - TP</v>
      </c>
      <c r="I180" s="58" t="s">
        <v>423</v>
      </c>
      <c r="J180" s="59" t="s">
        <v>424</v>
      </c>
      <c r="K180" s="21"/>
      <c r="L180" s="21"/>
      <c r="M180" s="16"/>
    </row>
    <row r="181" spans="1:13" ht="17.100000000000001" customHeight="1">
      <c r="A181" s="17">
        <v>46071</v>
      </c>
      <c r="B181" s="55" t="s">
        <v>169</v>
      </c>
      <c r="C181" s="55">
        <v>176</v>
      </c>
      <c r="D181" s="18" t="s">
        <v>224</v>
      </c>
      <c r="E181" s="37">
        <v>100000</v>
      </c>
      <c r="F181" s="26" t="s">
        <v>19</v>
      </c>
      <c r="G181" s="53" t="str">
        <f>VLOOKUP(F181,[3]Sheet2!$C$10:$E$231,2,FALSE)</f>
        <v>06.1.01.03.08</v>
      </c>
      <c r="H181" s="57" t="str">
        <f>VLOOKUP(F181,[3]Sheet2!$C$10:$E$231,3,FALSE)</f>
        <v>Biaya Konsumsi Karyawan - TP</v>
      </c>
      <c r="I181" s="58" t="s">
        <v>423</v>
      </c>
      <c r="J181" s="59" t="s">
        <v>424</v>
      </c>
      <c r="K181" s="21"/>
      <c r="L181" s="21"/>
      <c r="M181" s="16"/>
    </row>
    <row r="182" spans="1:13" ht="17.100000000000001" customHeight="1">
      <c r="A182" s="17">
        <v>46071</v>
      </c>
      <c r="B182" s="55" t="s">
        <v>169</v>
      </c>
      <c r="C182" s="55">
        <v>177</v>
      </c>
      <c r="D182" s="18" t="s">
        <v>190</v>
      </c>
      <c r="E182" s="34">
        <v>528000</v>
      </c>
      <c r="F182" s="26" t="s">
        <v>19</v>
      </c>
      <c r="G182" s="53" t="str">
        <f>VLOOKUP(F182,[3]Sheet2!$C$10:$E$231,2,FALSE)</f>
        <v>06.1.01.03.08</v>
      </c>
      <c r="H182" s="57" t="str">
        <f>VLOOKUP(F182,[3]Sheet2!$C$10:$E$231,3,FALSE)</f>
        <v>Biaya Konsumsi Karyawan - TP</v>
      </c>
      <c r="I182" s="58" t="s">
        <v>423</v>
      </c>
      <c r="J182" s="59" t="s">
        <v>424</v>
      </c>
      <c r="K182" s="21"/>
      <c r="L182" s="21"/>
      <c r="M182" s="16"/>
    </row>
    <row r="183" spans="1:13" ht="17.100000000000001" customHeight="1">
      <c r="A183" s="17">
        <v>46071</v>
      </c>
      <c r="B183" s="55" t="s">
        <v>169</v>
      </c>
      <c r="C183" s="55">
        <v>178</v>
      </c>
      <c r="D183" s="18" t="s">
        <v>225</v>
      </c>
      <c r="E183" s="37">
        <v>354000</v>
      </c>
      <c r="F183" s="26" t="s">
        <v>50</v>
      </c>
      <c r="G183" s="53" t="str">
        <f>VLOOKUP(F183,[3]Sheet2!$C$10:$E$231,2,FALSE)</f>
        <v>06.1.01.06.05</v>
      </c>
      <c r="H183" s="57" t="str">
        <f>VLOOKUP(F183,[3]Sheet2!$C$10:$E$231,3,FALSE)</f>
        <v>Pembelian Bahan Bakar Minyak (BBM) - TP</v>
      </c>
      <c r="I183" s="58" t="s">
        <v>423</v>
      </c>
      <c r="J183" s="59" t="s">
        <v>424</v>
      </c>
      <c r="K183" s="21"/>
      <c r="L183" s="21"/>
      <c r="M183" s="16"/>
    </row>
    <row r="184" spans="1:13" ht="17.100000000000001" customHeight="1">
      <c r="A184" s="17">
        <v>46071</v>
      </c>
      <c r="B184" s="55" t="s">
        <v>169</v>
      </c>
      <c r="C184" s="55">
        <v>179</v>
      </c>
      <c r="D184" s="18" t="s">
        <v>226</v>
      </c>
      <c r="E184" s="34">
        <v>125000</v>
      </c>
      <c r="F184" s="26" t="s">
        <v>41</v>
      </c>
      <c r="G184" s="53" t="str">
        <f>VLOOKUP(F184,[3]Sheet2!$C$10:$E$231,2,FALSE)</f>
        <v>06.1.01.05.01</v>
      </c>
      <c r="H184" s="57" t="str">
        <f>VLOOKUP(F184,[3]Sheet2!$C$10:$E$231,3,FALSE)</f>
        <v>Perjalanan dinas - TP</v>
      </c>
      <c r="I184" s="58" t="s">
        <v>423</v>
      </c>
      <c r="J184" s="59" t="s">
        <v>424</v>
      </c>
      <c r="K184" s="21"/>
      <c r="L184" s="21"/>
      <c r="M184" s="16"/>
    </row>
    <row r="185" spans="1:13" ht="17.100000000000001" customHeight="1">
      <c r="A185" s="17">
        <v>46071</v>
      </c>
      <c r="B185" s="55" t="s">
        <v>169</v>
      </c>
      <c r="C185" s="55">
        <v>180</v>
      </c>
      <c r="D185" s="18" t="s">
        <v>227</v>
      </c>
      <c r="E185" s="37">
        <v>20000</v>
      </c>
      <c r="F185" s="26" t="s">
        <v>41</v>
      </c>
      <c r="G185" s="53" t="str">
        <f>VLOOKUP(F185,[3]Sheet2!$C$10:$E$231,2,FALSE)</f>
        <v>06.1.01.05.01</v>
      </c>
      <c r="H185" s="57" t="str">
        <f>VLOOKUP(F185,[3]Sheet2!$C$10:$E$231,3,FALSE)</f>
        <v>Perjalanan dinas - TP</v>
      </c>
      <c r="I185" s="58" t="s">
        <v>423</v>
      </c>
      <c r="J185" s="59" t="s">
        <v>424</v>
      </c>
      <c r="K185" s="21"/>
      <c r="L185" s="21"/>
      <c r="M185" s="16"/>
    </row>
    <row r="186" spans="1:13" ht="17.100000000000001" customHeight="1">
      <c r="A186" s="17">
        <v>46071</v>
      </c>
      <c r="B186" s="55" t="s">
        <v>169</v>
      </c>
      <c r="C186" s="55">
        <v>181</v>
      </c>
      <c r="D186" s="18" t="s">
        <v>228</v>
      </c>
      <c r="E186" s="34">
        <v>190000</v>
      </c>
      <c r="F186" s="26" t="s">
        <v>23</v>
      </c>
      <c r="G186" s="53" t="str">
        <f>VLOOKUP(F186,[3]Sheet2!$C$10:$E$231,2,FALSE)</f>
        <v>06.1.01.03.06</v>
      </c>
      <c r="H186" s="57" t="str">
        <f>VLOOKUP(F186,[3]Sheet2!$C$10:$E$231,3,FALSE)</f>
        <v>Biaya  Barang Inventaris Kantor - TP</v>
      </c>
      <c r="I186" s="58" t="s">
        <v>423</v>
      </c>
      <c r="J186" s="59" t="s">
        <v>424</v>
      </c>
      <c r="K186" s="21"/>
      <c r="L186" s="21"/>
      <c r="M186" s="16"/>
    </row>
    <row r="187" spans="1:13" ht="17.100000000000001" customHeight="1">
      <c r="A187" s="17">
        <v>46071</v>
      </c>
      <c r="B187" s="55" t="s">
        <v>169</v>
      </c>
      <c r="C187" s="55">
        <v>182</v>
      </c>
      <c r="D187" s="18" t="s">
        <v>228</v>
      </c>
      <c r="E187" s="34">
        <v>125000</v>
      </c>
      <c r="F187" s="26" t="s">
        <v>23</v>
      </c>
      <c r="G187" s="53" t="str">
        <f>VLOOKUP(F187,[3]Sheet2!$C$10:$E$231,2,FALSE)</f>
        <v>06.1.01.03.06</v>
      </c>
      <c r="H187" s="57" t="str">
        <f>VLOOKUP(F187,[3]Sheet2!$C$10:$E$231,3,FALSE)</f>
        <v>Biaya  Barang Inventaris Kantor - TP</v>
      </c>
      <c r="I187" s="58" t="s">
        <v>423</v>
      </c>
      <c r="J187" s="59" t="s">
        <v>424</v>
      </c>
      <c r="K187" s="21"/>
      <c r="L187" s="21"/>
      <c r="M187" s="16"/>
    </row>
    <row r="188" spans="1:13" ht="17.100000000000001" customHeight="1">
      <c r="A188" s="17">
        <v>46076</v>
      </c>
      <c r="B188" s="55" t="s">
        <v>229</v>
      </c>
      <c r="C188" s="55">
        <v>183</v>
      </c>
      <c r="D188" s="18" t="s">
        <v>230</v>
      </c>
      <c r="E188" s="38">
        <v>21550000</v>
      </c>
      <c r="F188" s="31" t="s">
        <v>163</v>
      </c>
      <c r="G188" s="53" t="s">
        <v>415</v>
      </c>
      <c r="H188" s="57" t="s">
        <v>416</v>
      </c>
      <c r="I188" s="58" t="s">
        <v>423</v>
      </c>
      <c r="J188" s="59" t="s">
        <v>424</v>
      </c>
      <c r="K188" s="21"/>
      <c r="L188" s="21"/>
      <c r="M188" s="16"/>
    </row>
    <row r="189" spans="1:13" ht="17.100000000000001" customHeight="1">
      <c r="A189" s="17">
        <v>46076</v>
      </c>
      <c r="B189" s="55" t="s">
        <v>231</v>
      </c>
      <c r="C189" s="55">
        <v>184</v>
      </c>
      <c r="D189" s="18" t="s">
        <v>232</v>
      </c>
      <c r="E189" s="38">
        <v>3365300</v>
      </c>
      <c r="F189" s="31" t="s">
        <v>175</v>
      </c>
      <c r="G189" s="53" t="str">
        <f>VLOOKUP(F189,[3]Sheet2!$C$10:$E$231,2,FALSE)</f>
        <v>06.1.01.03.02</v>
      </c>
      <c r="H189" s="57" t="str">
        <f>VLOOKUP(F189,[3]Sheet2!$C$10:$E$231,3,FALSE)</f>
        <v>Biaya Alat Tulis Kantor - TP</v>
      </c>
      <c r="I189" s="58" t="s">
        <v>423</v>
      </c>
      <c r="J189" s="59" t="s">
        <v>424</v>
      </c>
      <c r="K189" s="21"/>
      <c r="L189" s="21"/>
      <c r="M189" s="16"/>
    </row>
    <row r="190" spans="1:13" ht="17.100000000000001" customHeight="1">
      <c r="A190" s="17">
        <v>46076</v>
      </c>
      <c r="B190" s="55" t="s">
        <v>233</v>
      </c>
      <c r="C190" s="55">
        <v>185</v>
      </c>
      <c r="D190" s="18" t="s">
        <v>234</v>
      </c>
      <c r="E190" s="38">
        <v>1317100</v>
      </c>
      <c r="F190" s="31" t="s">
        <v>192</v>
      </c>
      <c r="G190" s="53" t="str">
        <f>VLOOKUP(F190,[3]Sheet2!$C$10:$E$231,2,FALSE)</f>
        <v>06.1.01.03.14</v>
      </c>
      <c r="H190" s="57" t="str">
        <f>VLOOKUP(F190,[3]Sheet2!$C$10:$E$231,3,FALSE)</f>
        <v>Perlengkapan kebersihan dan rumah tangga - TP</v>
      </c>
      <c r="I190" s="58" t="s">
        <v>423</v>
      </c>
      <c r="J190" s="59" t="s">
        <v>424</v>
      </c>
      <c r="K190" s="21"/>
      <c r="L190" s="21"/>
      <c r="M190" s="16"/>
    </row>
    <row r="191" spans="1:13" ht="17.100000000000001" customHeight="1">
      <c r="A191" s="17">
        <v>46076</v>
      </c>
      <c r="B191" s="55" t="s">
        <v>235</v>
      </c>
      <c r="C191" s="55">
        <v>186</v>
      </c>
      <c r="D191" s="18" t="s">
        <v>236</v>
      </c>
      <c r="E191" s="38">
        <v>1928500</v>
      </c>
      <c r="F191" s="31" t="s">
        <v>111</v>
      </c>
      <c r="G191" s="53" t="str">
        <f>VLOOKUP(F191,[3]Sheet2!$C$10:$E$231,2,FALSE)</f>
        <v>06.1.01.03.17</v>
      </c>
      <c r="H191" s="57" t="str">
        <f>VLOOKUP(F191,[3]Sheet2!$C$10:$E$231,3,FALSE)</f>
        <v>Pengadaan Alat dan Bahan Praktikum Laboratorium - TP</v>
      </c>
      <c r="I191" s="58" t="s">
        <v>423</v>
      </c>
      <c r="J191" s="59" t="s">
        <v>424</v>
      </c>
      <c r="K191" s="21"/>
      <c r="L191" s="21"/>
      <c r="M191" s="16"/>
    </row>
    <row r="192" spans="1:13" ht="17.100000000000001" customHeight="1">
      <c r="A192" s="17">
        <v>46076</v>
      </c>
      <c r="B192" s="55" t="s">
        <v>237</v>
      </c>
      <c r="C192" s="55">
        <v>187</v>
      </c>
      <c r="D192" s="18" t="s">
        <v>238</v>
      </c>
      <c r="E192" s="38">
        <v>29765000</v>
      </c>
      <c r="F192" s="31" t="s">
        <v>239</v>
      </c>
      <c r="G192" s="53" t="s">
        <v>417</v>
      </c>
      <c r="H192" s="57" t="s">
        <v>418</v>
      </c>
      <c r="I192" s="58" t="s">
        <v>423</v>
      </c>
      <c r="J192" s="59" t="s">
        <v>424</v>
      </c>
      <c r="K192" s="21"/>
      <c r="L192" s="21"/>
      <c r="M192" s="16"/>
    </row>
    <row r="193" spans="1:13" ht="17.100000000000001" customHeight="1">
      <c r="A193" s="17">
        <v>46076</v>
      </c>
      <c r="B193" s="55" t="s">
        <v>240</v>
      </c>
      <c r="C193" s="55">
        <v>188</v>
      </c>
      <c r="D193" s="18" t="s">
        <v>241</v>
      </c>
      <c r="E193" s="38">
        <v>20750000</v>
      </c>
      <c r="F193" s="31" t="s">
        <v>242</v>
      </c>
      <c r="G193" s="53" t="s">
        <v>417</v>
      </c>
      <c r="H193" s="57" t="s">
        <v>418</v>
      </c>
      <c r="I193" s="58" t="s">
        <v>423</v>
      </c>
      <c r="J193" s="59" t="s">
        <v>424</v>
      </c>
      <c r="K193" s="21"/>
      <c r="L193" s="21"/>
      <c r="M193" s="16"/>
    </row>
    <row r="194" spans="1:13" ht="17.100000000000001" customHeight="1">
      <c r="A194" s="17">
        <v>46076</v>
      </c>
      <c r="B194" s="55" t="s">
        <v>243</v>
      </c>
      <c r="C194" s="55">
        <v>189</v>
      </c>
      <c r="D194" s="18" t="s">
        <v>244</v>
      </c>
      <c r="E194" s="38">
        <v>9602900</v>
      </c>
      <c r="F194" s="31" t="s">
        <v>82</v>
      </c>
      <c r="G194" s="53" t="str">
        <f>VLOOKUP(F194,[3]Sheet2!$C$10:$E$231,2,FALSE)</f>
        <v>06.1.02.07.19</v>
      </c>
      <c r="H194" s="57" t="str">
        <f>VLOOKUP(F194,[3]Sheet2!$C$10:$E$231,3,FALSE)</f>
        <v>Praktek Klinik Profesi Apoteker PSPPA - TP</v>
      </c>
      <c r="I194" s="58" t="s">
        <v>423</v>
      </c>
      <c r="J194" s="59" t="s">
        <v>424</v>
      </c>
      <c r="K194" s="21"/>
      <c r="L194" s="21"/>
      <c r="M194" s="16"/>
    </row>
    <row r="195" spans="1:13" ht="17.100000000000001" customHeight="1">
      <c r="A195" s="17">
        <v>46076</v>
      </c>
      <c r="B195" s="55" t="s">
        <v>245</v>
      </c>
      <c r="C195" s="55">
        <v>190</v>
      </c>
      <c r="D195" s="18" t="s">
        <v>246</v>
      </c>
      <c r="E195" s="38">
        <v>6633000</v>
      </c>
      <c r="F195" s="31" t="s">
        <v>247</v>
      </c>
      <c r="G195" s="53" t="str">
        <f>VLOOKUP(F195,[3]Sheet2!$C$10:$E$231,2,FALSE)</f>
        <v>06.1.02.07.19</v>
      </c>
      <c r="H195" s="57" t="str">
        <f>VLOOKUP(F195,[3]Sheet2!$C$10:$E$231,3,FALSE)</f>
        <v>Praktek Klinik Profesi Apoteker PSPPA - TP</v>
      </c>
      <c r="I195" s="58" t="s">
        <v>423</v>
      </c>
      <c r="J195" s="59" t="s">
        <v>424</v>
      </c>
      <c r="K195" s="21"/>
      <c r="L195" s="21"/>
      <c r="M195" s="16"/>
    </row>
    <row r="196" spans="1:13" ht="17.100000000000001" customHeight="1">
      <c r="A196" s="17">
        <v>46078</v>
      </c>
      <c r="B196" s="55" t="s">
        <v>248</v>
      </c>
      <c r="C196" s="55">
        <v>191</v>
      </c>
      <c r="D196" s="18" t="s">
        <v>249</v>
      </c>
      <c r="E196" s="38">
        <v>12500000</v>
      </c>
      <c r="F196" s="31" t="s">
        <v>194</v>
      </c>
      <c r="G196" s="53" t="str">
        <f>VLOOKUP(F196,[3]Sheet2!$C$10:$E$231,2,FALSE)</f>
        <v>06.1.01.03.13</v>
      </c>
      <c r="H196" s="57" t="str">
        <f>VLOOKUP(F196,[3]Sheet2!$C$10:$E$231,3,FALSE)</f>
        <v>Biaya Representasi - TP</v>
      </c>
      <c r="I196" s="58" t="s">
        <v>423</v>
      </c>
      <c r="J196" s="59" t="s">
        <v>424</v>
      </c>
      <c r="K196" s="21"/>
      <c r="L196" s="21"/>
      <c r="M196" s="16"/>
    </row>
    <row r="197" spans="1:13" ht="17.100000000000001" customHeight="1">
      <c r="A197" s="17">
        <v>46078</v>
      </c>
      <c r="B197" s="55" t="s">
        <v>250</v>
      </c>
      <c r="C197" s="55">
        <v>192</v>
      </c>
      <c r="D197" s="18" t="s">
        <v>251</v>
      </c>
      <c r="E197" s="38">
        <v>56538000</v>
      </c>
      <c r="F197" s="31" t="s">
        <v>252</v>
      </c>
      <c r="G197" s="53" t="s">
        <v>419</v>
      </c>
      <c r="H197" s="57" t="s">
        <v>420</v>
      </c>
      <c r="I197" s="58" t="s">
        <v>423</v>
      </c>
      <c r="J197" s="59" t="s">
        <v>424</v>
      </c>
      <c r="K197" s="21"/>
      <c r="L197" s="21"/>
      <c r="M197" s="16"/>
    </row>
    <row r="198" spans="1:13" ht="17.100000000000001" customHeight="1">
      <c r="A198" s="17">
        <v>46078</v>
      </c>
      <c r="B198" s="55" t="s">
        <v>253</v>
      </c>
      <c r="C198" s="55">
        <v>193</v>
      </c>
      <c r="D198" s="18" t="s">
        <v>254</v>
      </c>
      <c r="E198" s="38">
        <v>2119500</v>
      </c>
      <c r="F198" s="31" t="s">
        <v>175</v>
      </c>
      <c r="G198" s="53" t="str">
        <f>VLOOKUP(F198,[3]Sheet2!$C$10:$E$231,2,FALSE)</f>
        <v>06.1.01.03.02</v>
      </c>
      <c r="H198" s="57" t="str">
        <f>VLOOKUP(F198,[3]Sheet2!$C$10:$E$231,3,FALSE)</f>
        <v>Biaya Alat Tulis Kantor - TP</v>
      </c>
      <c r="I198" s="58" t="s">
        <v>423</v>
      </c>
      <c r="J198" s="59" t="s">
        <v>424</v>
      </c>
      <c r="K198" s="21"/>
      <c r="L198" s="21"/>
      <c r="M198" s="16"/>
    </row>
    <row r="199" spans="1:13" ht="17.100000000000001" customHeight="1">
      <c r="A199" s="17">
        <v>46078</v>
      </c>
      <c r="B199" s="55" t="s">
        <v>255</v>
      </c>
      <c r="C199" s="55">
        <v>194</v>
      </c>
      <c r="D199" s="18" t="s">
        <v>256</v>
      </c>
      <c r="E199" s="38">
        <v>103815000</v>
      </c>
      <c r="F199" s="31" t="s">
        <v>257</v>
      </c>
      <c r="G199" s="53" t="str">
        <f>VLOOKUP(F199,[3]Sheet2!$C$10:$E$231,2,FALSE)</f>
        <v>06.1.01.01.01</v>
      </c>
      <c r="H199" s="57" t="str">
        <f>VLOOKUP(F199,[3]Sheet2!$C$10:$E$231,3,FALSE)</f>
        <v>Gaji pokok karyawan - TP</v>
      </c>
      <c r="I199" s="58" t="s">
        <v>423</v>
      </c>
      <c r="J199" s="59" t="s">
        <v>424</v>
      </c>
      <c r="K199" s="21"/>
      <c r="L199" s="21"/>
      <c r="M199" s="16"/>
    </row>
    <row r="200" spans="1:13" ht="17.100000000000001" customHeight="1">
      <c r="A200" s="17">
        <v>46078</v>
      </c>
      <c r="B200" s="55" t="s">
        <v>258</v>
      </c>
      <c r="C200" s="55">
        <v>195</v>
      </c>
      <c r="D200" s="18" t="s">
        <v>259</v>
      </c>
      <c r="E200" s="38">
        <v>3425000</v>
      </c>
      <c r="F200" s="31" t="s">
        <v>41</v>
      </c>
      <c r="G200" s="53" t="str">
        <f>VLOOKUP(F200,[3]Sheet2!$C$10:$E$231,2,FALSE)</f>
        <v>06.1.01.05.01</v>
      </c>
      <c r="H200" s="57" t="str">
        <f>VLOOKUP(F200,[3]Sheet2!$C$10:$E$231,3,FALSE)</f>
        <v>Perjalanan dinas - TP</v>
      </c>
      <c r="I200" s="58" t="s">
        <v>423</v>
      </c>
      <c r="J200" s="59" t="s">
        <v>424</v>
      </c>
      <c r="K200" s="21"/>
      <c r="L200" s="21"/>
      <c r="M200" s="16"/>
    </row>
    <row r="201" spans="1:13" ht="17.100000000000001" customHeight="1">
      <c r="A201" s="17">
        <v>46078</v>
      </c>
      <c r="B201" s="55" t="s">
        <v>260</v>
      </c>
      <c r="C201" s="55">
        <v>196</v>
      </c>
      <c r="D201" s="18" t="s">
        <v>261</v>
      </c>
      <c r="E201" s="38">
        <v>9000000</v>
      </c>
      <c r="F201" s="31" t="s">
        <v>262</v>
      </c>
      <c r="G201" s="53" t="str">
        <f>VLOOKUP(F201,[3]Sheet2!$C$10:$E$231,2,FALSE)</f>
        <v>06.1.02.09.17</v>
      </c>
      <c r="H201" s="57" t="str">
        <f>VLOOKUP(F201,[3]Sheet2!$C$10:$E$231,3,FALSE)</f>
        <v>Kerja Praktek Prodi Teknologi Pangan</v>
      </c>
      <c r="I201" s="58" t="s">
        <v>423</v>
      </c>
      <c r="J201" s="59" t="s">
        <v>424</v>
      </c>
      <c r="K201" s="21"/>
      <c r="L201" s="21"/>
      <c r="M201" s="16"/>
    </row>
    <row r="202" spans="1:13" ht="17.100000000000001" customHeight="1">
      <c r="A202" s="17">
        <v>46078</v>
      </c>
      <c r="B202" s="55" t="s">
        <v>263</v>
      </c>
      <c r="C202" s="55">
        <v>197</v>
      </c>
      <c r="D202" s="18" t="s">
        <v>264</v>
      </c>
      <c r="E202" s="38">
        <v>2468250</v>
      </c>
      <c r="F202" s="31" t="s">
        <v>71</v>
      </c>
      <c r="G202" s="53" t="str">
        <f>VLOOKUP(F202,[3]Sheet2!$C$10:$E$231,2,FALSE)</f>
        <v>06.1.01.03.11</v>
      </c>
      <c r="H202" s="57" t="str">
        <f>VLOOKUP(F202,[3]Sheet2!$C$10:$E$231,3,FALSE)</f>
        <v>Belanja Fotocopy, Jilid, Laminating dan Materai - TP</v>
      </c>
      <c r="I202" s="58" t="s">
        <v>423</v>
      </c>
      <c r="J202" s="59" t="s">
        <v>424</v>
      </c>
      <c r="K202" s="21"/>
      <c r="L202" s="21"/>
      <c r="M202" s="16"/>
    </row>
    <row r="203" spans="1:13" ht="17.100000000000001" customHeight="1">
      <c r="A203" s="17">
        <v>46078</v>
      </c>
      <c r="B203" s="55" t="s">
        <v>265</v>
      </c>
      <c r="C203" s="55">
        <v>198</v>
      </c>
      <c r="D203" s="18" t="s">
        <v>266</v>
      </c>
      <c r="E203" s="38">
        <v>500000</v>
      </c>
      <c r="F203" s="31" t="s">
        <v>77</v>
      </c>
      <c r="G203" s="53" t="str">
        <f>VLOOKUP(F203,[3]Sheet2!$C$10:$E$231,2,FALSE)</f>
        <v>06.1.02.03.03</v>
      </c>
      <c r="H203" s="57" t="str">
        <f>VLOOKUP(F203,[3]Sheet2!$C$10:$E$231,3,FALSE)</f>
        <v>Pencapaian Prestasi Mahasiswa - TP</v>
      </c>
      <c r="I203" s="58" t="s">
        <v>423</v>
      </c>
      <c r="J203" s="59" t="s">
        <v>424</v>
      </c>
      <c r="K203" s="21"/>
      <c r="L203" s="21"/>
      <c r="M203" s="16"/>
    </row>
    <row r="204" spans="1:13" ht="17.100000000000001" customHeight="1">
      <c r="A204" s="17">
        <v>46078</v>
      </c>
      <c r="B204" s="55" t="s">
        <v>267</v>
      </c>
      <c r="C204" s="55">
        <v>199</v>
      </c>
      <c r="D204" s="18" t="s">
        <v>268</v>
      </c>
      <c r="E204" s="38">
        <v>350000</v>
      </c>
      <c r="F204" s="31" t="s">
        <v>77</v>
      </c>
      <c r="G204" s="53" t="str">
        <f>VLOOKUP(F204,[3]Sheet2!$C$10:$E$231,2,FALSE)</f>
        <v>06.1.02.03.03</v>
      </c>
      <c r="H204" s="57" t="str">
        <f>VLOOKUP(F204,[3]Sheet2!$C$10:$E$231,3,FALSE)</f>
        <v>Pencapaian Prestasi Mahasiswa - TP</v>
      </c>
      <c r="I204" s="58" t="s">
        <v>423</v>
      </c>
      <c r="J204" s="59" t="s">
        <v>424</v>
      </c>
      <c r="K204" s="21"/>
      <c r="L204" s="21"/>
      <c r="M204" s="16"/>
    </row>
    <row r="205" spans="1:13" ht="17.100000000000001" customHeight="1">
      <c r="A205" s="17">
        <v>46078</v>
      </c>
      <c r="B205" s="55" t="s">
        <v>269</v>
      </c>
      <c r="C205" s="55">
        <v>200</v>
      </c>
      <c r="D205" s="18" t="s">
        <v>270</v>
      </c>
      <c r="E205" s="38">
        <v>300000</v>
      </c>
      <c r="F205" s="31" t="s">
        <v>77</v>
      </c>
      <c r="G205" s="53" t="str">
        <f>VLOOKUP(F205,[3]Sheet2!$C$10:$E$231,2,FALSE)</f>
        <v>06.1.02.03.03</v>
      </c>
      <c r="H205" s="57" t="str">
        <f>VLOOKUP(F205,[3]Sheet2!$C$10:$E$231,3,FALSE)</f>
        <v>Pencapaian Prestasi Mahasiswa - TP</v>
      </c>
      <c r="I205" s="58" t="s">
        <v>423</v>
      </c>
      <c r="J205" s="59" t="s">
        <v>424</v>
      </c>
      <c r="K205" s="21"/>
      <c r="L205" s="21"/>
      <c r="M205" s="16"/>
    </row>
    <row r="206" spans="1:13" ht="17.100000000000001" customHeight="1">
      <c r="A206" s="17">
        <v>46078</v>
      </c>
      <c r="B206" s="55" t="s">
        <v>271</v>
      </c>
      <c r="C206" s="55">
        <v>201</v>
      </c>
      <c r="D206" s="18" t="s">
        <v>272</v>
      </c>
      <c r="E206" s="38">
        <v>1575000</v>
      </c>
      <c r="F206" s="31"/>
      <c r="G206" s="53" t="s">
        <v>421</v>
      </c>
      <c r="H206" s="57" t="s">
        <v>422</v>
      </c>
      <c r="I206" s="58" t="s">
        <v>423</v>
      </c>
      <c r="J206" s="59" t="s">
        <v>424</v>
      </c>
      <c r="K206" s="21"/>
      <c r="L206" s="21"/>
      <c r="M206" s="16"/>
    </row>
    <row r="207" spans="1:13" ht="17.100000000000001" customHeight="1">
      <c r="A207" s="17">
        <v>46078</v>
      </c>
      <c r="B207" s="55" t="s">
        <v>273</v>
      </c>
      <c r="C207" s="55">
        <v>202</v>
      </c>
      <c r="D207" s="18" t="s">
        <v>274</v>
      </c>
      <c r="E207" s="38">
        <v>2100000</v>
      </c>
      <c r="F207" s="31" t="s">
        <v>93</v>
      </c>
      <c r="G207" s="53" t="str">
        <f>VLOOKUP(F207,[3]Sheet2!$C$10:$E$231,2,FALSE)</f>
        <v>06.1.02.03.09</v>
      </c>
      <c r="H207" s="57" t="str">
        <f>VLOOKUP(F207,[3]Sheet2!$C$10:$E$231,3,FALSE)</f>
        <v>Pengenalan Kehidupan Kampus bagi Mahasiswa Baru (PKKMB)  - TP</v>
      </c>
      <c r="I207" s="58" t="s">
        <v>423</v>
      </c>
      <c r="J207" s="59" t="s">
        <v>424</v>
      </c>
      <c r="K207" s="21"/>
      <c r="L207" s="21"/>
      <c r="M207" s="16"/>
    </row>
    <row r="208" spans="1:13" ht="17.100000000000001" customHeight="1">
      <c r="A208" s="17">
        <v>46078</v>
      </c>
      <c r="B208" s="55" t="s">
        <v>275</v>
      </c>
      <c r="C208" s="55">
        <v>203</v>
      </c>
      <c r="D208" s="18" t="s">
        <v>276</v>
      </c>
      <c r="E208" s="38">
        <v>3077000</v>
      </c>
      <c r="F208" s="31" t="s">
        <v>277</v>
      </c>
      <c r="G208" s="53" t="str">
        <f>VLOOKUP(F208,[3]Sheet2!$C$10:$E$231,2,FALSE)</f>
        <v>06.1.01.04.01</v>
      </c>
      <c r="H208" s="57" t="str">
        <f>VLOOKUP(F208,[3]Sheet2!$C$10:$E$231,3,FALSE)</f>
        <v>Pemeliharaan Gedung, Halaman, dan Graha Husada - TP</v>
      </c>
      <c r="I208" s="58" t="s">
        <v>423</v>
      </c>
      <c r="J208" s="59" t="s">
        <v>424</v>
      </c>
      <c r="K208" s="21"/>
      <c r="L208" s="21"/>
      <c r="M208" s="16"/>
    </row>
    <row r="209" spans="1:13" ht="17.100000000000001" customHeight="1">
      <c r="A209" s="17">
        <v>46078</v>
      </c>
      <c r="B209" s="55" t="s">
        <v>278</v>
      </c>
      <c r="C209" s="55">
        <v>204</v>
      </c>
      <c r="D209" s="18" t="s">
        <v>279</v>
      </c>
      <c r="E209" s="38">
        <v>2400000</v>
      </c>
      <c r="F209" s="31" t="s">
        <v>23</v>
      </c>
      <c r="G209" s="53" t="str">
        <f>VLOOKUP(F209,[3]Sheet2!$C$10:$E$231,2,FALSE)</f>
        <v>06.1.01.03.06</v>
      </c>
      <c r="H209" s="57" t="str">
        <f>VLOOKUP(F209,[3]Sheet2!$C$10:$E$231,3,FALSE)</f>
        <v>Biaya  Barang Inventaris Kantor - TP</v>
      </c>
      <c r="I209" s="58" t="s">
        <v>423</v>
      </c>
      <c r="J209" s="59" t="s">
        <v>424</v>
      </c>
      <c r="K209" s="21"/>
      <c r="L209" s="21"/>
      <c r="M209" s="16"/>
    </row>
    <row r="210" spans="1:13" ht="17.100000000000001" customHeight="1">
      <c r="A210" s="17">
        <v>46078</v>
      </c>
      <c r="B210" s="55" t="s">
        <v>280</v>
      </c>
      <c r="C210" s="55">
        <v>205</v>
      </c>
      <c r="D210" s="18" t="s">
        <v>152</v>
      </c>
      <c r="E210" s="38">
        <v>1450000</v>
      </c>
      <c r="F210" s="31" t="s">
        <v>153</v>
      </c>
      <c r="G210" s="53" t="str">
        <f>VLOOKUP(F210,[3]Sheet2!$C$10:$E$231,2,FALSE)</f>
        <v>06.1.02.07.13</v>
      </c>
      <c r="H210" s="57" t="str">
        <f>VLOOKUP(F210,[3]Sheet2!$C$10:$E$231,3,FALSE)</f>
        <v>Honor Dosen Pakar/Ahli  Prodi PSPPA Fakultas Farmasi - TP</v>
      </c>
      <c r="I210" s="58" t="s">
        <v>423</v>
      </c>
      <c r="J210" s="59" t="s">
        <v>424</v>
      </c>
      <c r="K210" s="21"/>
      <c r="L210" s="21"/>
      <c r="M210" s="16"/>
    </row>
    <row r="211" spans="1:13" ht="17.100000000000001" customHeight="1">
      <c r="A211" s="17">
        <v>46078</v>
      </c>
      <c r="B211" s="55" t="s">
        <v>281</v>
      </c>
      <c r="C211" s="55">
        <v>206</v>
      </c>
      <c r="D211" s="18" t="s">
        <v>282</v>
      </c>
      <c r="E211" s="38">
        <v>2484062</v>
      </c>
      <c r="F211" s="31" t="s">
        <v>87</v>
      </c>
      <c r="G211" s="53" t="str">
        <f>VLOOKUP(F211,[3]Sheet2!$C$10:$E$231,2,FALSE)</f>
        <v>06.1.02.03.07</v>
      </c>
      <c r="H211" s="57" t="str">
        <f>VLOOKUP(F211,[3]Sheet2!$C$10:$E$231,3,FALSE)</f>
        <v>Jaminan Pemeliharaan Kesehatan Masyarakat (JPKM) - TP</v>
      </c>
      <c r="I211" s="58" t="s">
        <v>423</v>
      </c>
      <c r="J211" s="59" t="s">
        <v>424</v>
      </c>
      <c r="K211" s="21"/>
      <c r="L211" s="21"/>
      <c r="M211" s="16"/>
    </row>
    <row r="212" spans="1:13" ht="17.100000000000001" customHeight="1">
      <c r="A212" s="17">
        <v>46078</v>
      </c>
      <c r="B212" s="55" t="s">
        <v>283</v>
      </c>
      <c r="C212" s="55">
        <v>207</v>
      </c>
      <c r="D212" s="18" t="s">
        <v>284</v>
      </c>
      <c r="E212" s="39">
        <v>64200</v>
      </c>
      <c r="F212" s="26" t="s">
        <v>138</v>
      </c>
      <c r="G212" s="53" t="str">
        <f>VLOOKUP(F212,[3]Sheet2!$C$10:$E$231,2,FALSE)</f>
        <v>06.1.02.04.01</v>
      </c>
      <c r="H212" s="57" t="str">
        <f>VLOOKUP(F212,[3]Sheet2!$C$10:$E$231,3,FALSE)</f>
        <v>Kegiatan Kehumas - TP</v>
      </c>
      <c r="I212" s="58" t="s">
        <v>423</v>
      </c>
      <c r="J212" s="59" t="s">
        <v>424</v>
      </c>
      <c r="K212" s="21"/>
      <c r="L212" s="21"/>
      <c r="M212" s="16"/>
    </row>
    <row r="213" spans="1:13" ht="17.100000000000001" customHeight="1">
      <c r="A213" s="17">
        <v>46078</v>
      </c>
      <c r="B213" s="55" t="s">
        <v>283</v>
      </c>
      <c r="C213" s="55">
        <v>208</v>
      </c>
      <c r="D213" s="18" t="s">
        <v>285</v>
      </c>
      <c r="E213" s="40">
        <v>300000</v>
      </c>
      <c r="F213" s="26" t="s">
        <v>41</v>
      </c>
      <c r="G213" s="53" t="str">
        <f>VLOOKUP(F213,[3]Sheet2!$C$10:$E$231,2,FALSE)</f>
        <v>06.1.01.05.01</v>
      </c>
      <c r="H213" s="57" t="str">
        <f>VLOOKUP(F213,[3]Sheet2!$C$10:$E$231,3,FALSE)</f>
        <v>Perjalanan dinas - TP</v>
      </c>
      <c r="I213" s="58" t="s">
        <v>423</v>
      </c>
      <c r="J213" s="59" t="s">
        <v>424</v>
      </c>
      <c r="K213" s="21"/>
      <c r="L213" s="21"/>
      <c r="M213" s="16"/>
    </row>
    <row r="214" spans="1:13" ht="17.100000000000001" customHeight="1">
      <c r="A214" s="17">
        <v>46078</v>
      </c>
      <c r="B214" s="55" t="s">
        <v>283</v>
      </c>
      <c r="C214" s="55">
        <v>209</v>
      </c>
      <c r="D214" s="18" t="s">
        <v>286</v>
      </c>
      <c r="E214" s="39">
        <v>375300</v>
      </c>
      <c r="F214" s="26" t="s">
        <v>182</v>
      </c>
      <c r="G214" s="53" t="str">
        <f>VLOOKUP(F214,[3]Sheet2!$C$10:$E$231,2,FALSE)</f>
        <v>06.1.01.01.15</v>
      </c>
      <c r="H214" s="57" t="str">
        <f>VLOOKUP(F214,[3]Sheet2!$C$10:$E$231,3,FALSE)</f>
        <v>Upah Lembur dan Piket - TP</v>
      </c>
      <c r="I214" s="58" t="s">
        <v>423</v>
      </c>
      <c r="J214" s="59" t="s">
        <v>424</v>
      </c>
      <c r="K214" s="21"/>
      <c r="L214" s="21"/>
      <c r="M214" s="16"/>
    </row>
    <row r="215" spans="1:13" ht="17.100000000000001" customHeight="1">
      <c r="A215" s="17">
        <v>46078</v>
      </c>
      <c r="B215" s="55" t="s">
        <v>283</v>
      </c>
      <c r="C215" s="55">
        <v>210</v>
      </c>
      <c r="D215" s="18" t="s">
        <v>287</v>
      </c>
      <c r="E215" s="39">
        <v>300000</v>
      </c>
      <c r="F215" s="26" t="s">
        <v>41</v>
      </c>
      <c r="G215" s="53" t="str">
        <f>VLOOKUP(F215,[3]Sheet2!$C$10:$E$231,2,FALSE)</f>
        <v>06.1.01.05.01</v>
      </c>
      <c r="H215" s="57" t="str">
        <f>VLOOKUP(F215,[3]Sheet2!$C$10:$E$231,3,FALSE)</f>
        <v>Perjalanan dinas - TP</v>
      </c>
      <c r="I215" s="58" t="s">
        <v>423</v>
      </c>
      <c r="J215" s="59" t="s">
        <v>424</v>
      </c>
      <c r="K215" s="21"/>
      <c r="L215" s="21"/>
      <c r="M215" s="16"/>
    </row>
    <row r="216" spans="1:13" ht="17.100000000000001" customHeight="1">
      <c r="A216" s="17">
        <v>46078</v>
      </c>
      <c r="B216" s="55" t="s">
        <v>283</v>
      </c>
      <c r="C216" s="55">
        <v>211</v>
      </c>
      <c r="D216" s="18" t="s">
        <v>288</v>
      </c>
      <c r="E216" s="40">
        <v>300000</v>
      </c>
      <c r="F216" s="26" t="s">
        <v>41</v>
      </c>
      <c r="G216" s="53" t="str">
        <f>VLOOKUP(F216,[3]Sheet2!$C$10:$E$231,2,FALSE)</f>
        <v>06.1.01.05.01</v>
      </c>
      <c r="H216" s="57" t="str">
        <f>VLOOKUP(F216,[3]Sheet2!$C$10:$E$231,3,FALSE)</f>
        <v>Perjalanan dinas - TP</v>
      </c>
      <c r="I216" s="58" t="s">
        <v>423</v>
      </c>
      <c r="J216" s="59" t="s">
        <v>424</v>
      </c>
      <c r="K216" s="21"/>
      <c r="L216" s="21"/>
      <c r="M216" s="16"/>
    </row>
    <row r="217" spans="1:13" ht="17.100000000000001" customHeight="1">
      <c r="A217" s="17">
        <v>46078</v>
      </c>
      <c r="B217" s="55" t="s">
        <v>283</v>
      </c>
      <c r="C217" s="55">
        <v>212</v>
      </c>
      <c r="D217" s="18" t="s">
        <v>289</v>
      </c>
      <c r="E217" s="40">
        <v>350000</v>
      </c>
      <c r="F217" s="26" t="s">
        <v>71</v>
      </c>
      <c r="G217" s="53" t="str">
        <f>VLOOKUP(F217,[3]Sheet2!$C$10:$E$231,2,FALSE)</f>
        <v>06.1.01.03.11</v>
      </c>
      <c r="H217" s="57" t="str">
        <f>VLOOKUP(F217,[3]Sheet2!$C$10:$E$231,3,FALSE)</f>
        <v>Belanja Fotocopy, Jilid, Laminating dan Materai - TP</v>
      </c>
      <c r="I217" s="58" t="s">
        <v>423</v>
      </c>
      <c r="J217" s="59" t="s">
        <v>424</v>
      </c>
      <c r="K217" s="21"/>
      <c r="L217" s="21"/>
      <c r="M217" s="16"/>
    </row>
    <row r="218" spans="1:13" ht="17.100000000000001" customHeight="1">
      <c r="A218" s="17">
        <v>46078</v>
      </c>
      <c r="B218" s="55" t="s">
        <v>283</v>
      </c>
      <c r="C218" s="55">
        <v>213</v>
      </c>
      <c r="D218" s="18" t="s">
        <v>289</v>
      </c>
      <c r="E218" s="39">
        <v>175000</v>
      </c>
      <c r="F218" s="26" t="s">
        <v>71</v>
      </c>
      <c r="G218" s="53" t="str">
        <f>VLOOKUP(F218,[3]Sheet2!$C$10:$E$231,2,FALSE)</f>
        <v>06.1.01.03.11</v>
      </c>
      <c r="H218" s="57" t="str">
        <f>VLOOKUP(F218,[3]Sheet2!$C$10:$E$231,3,FALSE)</f>
        <v>Belanja Fotocopy, Jilid, Laminating dan Materai - TP</v>
      </c>
      <c r="I218" s="58" t="s">
        <v>423</v>
      </c>
      <c r="J218" s="59" t="s">
        <v>424</v>
      </c>
      <c r="K218" s="21"/>
      <c r="L218" s="21"/>
      <c r="M218" s="16"/>
    </row>
    <row r="219" spans="1:13" ht="17.100000000000001" customHeight="1">
      <c r="A219" s="17">
        <v>46078</v>
      </c>
      <c r="B219" s="55" t="s">
        <v>283</v>
      </c>
      <c r="C219" s="55">
        <v>214</v>
      </c>
      <c r="D219" s="18" t="s">
        <v>290</v>
      </c>
      <c r="E219" s="40">
        <v>50000</v>
      </c>
      <c r="F219" s="26" t="s">
        <v>192</v>
      </c>
      <c r="G219" s="53" t="str">
        <f>VLOOKUP(F219,[3]Sheet2!$C$10:$E$231,2,FALSE)</f>
        <v>06.1.01.03.14</v>
      </c>
      <c r="H219" s="57" t="str">
        <f>VLOOKUP(F219,[3]Sheet2!$C$10:$E$231,3,FALSE)</f>
        <v>Perlengkapan kebersihan dan rumah tangga - TP</v>
      </c>
      <c r="I219" s="58" t="s">
        <v>423</v>
      </c>
      <c r="J219" s="59" t="s">
        <v>424</v>
      </c>
      <c r="K219" s="21"/>
      <c r="L219" s="21"/>
      <c r="M219" s="16"/>
    </row>
    <row r="220" spans="1:13" ht="17.100000000000001" customHeight="1">
      <c r="A220" s="17">
        <v>46078</v>
      </c>
      <c r="B220" s="55" t="s">
        <v>283</v>
      </c>
      <c r="C220" s="55">
        <v>215</v>
      </c>
      <c r="D220" s="18" t="s">
        <v>291</v>
      </c>
      <c r="E220" s="39">
        <v>2900</v>
      </c>
      <c r="F220" s="26" t="s">
        <v>39</v>
      </c>
      <c r="G220" s="53" t="str">
        <f>VLOOKUP(F220,[3]Sheet2!$C$10:$E$231,2,FALSE)</f>
        <v>06.1.01.02.17</v>
      </c>
      <c r="H220" s="57" t="str">
        <f>VLOOKUP(F220,[3]Sheet2!$C$10:$E$231,3,FALSE)</f>
        <v>Administrasi Bank, umum dan surat menyurat - TP</v>
      </c>
      <c r="I220" s="58" t="s">
        <v>423</v>
      </c>
      <c r="J220" s="59" t="s">
        <v>424</v>
      </c>
      <c r="K220" s="21"/>
      <c r="L220" s="21"/>
      <c r="M220" s="16"/>
    </row>
    <row r="221" spans="1:13" ht="17.100000000000001" customHeight="1">
      <c r="A221" s="17">
        <v>46078</v>
      </c>
      <c r="B221" s="55" t="s">
        <v>283</v>
      </c>
      <c r="C221" s="55">
        <v>216</v>
      </c>
      <c r="D221" s="18" t="s">
        <v>292</v>
      </c>
      <c r="E221" s="40">
        <v>80000</v>
      </c>
      <c r="F221" s="26" t="s">
        <v>19</v>
      </c>
      <c r="G221" s="53" t="str">
        <f>VLOOKUP(F221,[3]Sheet2!$C$10:$E$231,2,FALSE)</f>
        <v>06.1.01.03.08</v>
      </c>
      <c r="H221" s="57" t="str">
        <f>VLOOKUP(F221,[3]Sheet2!$C$10:$E$231,3,FALSE)</f>
        <v>Biaya Konsumsi Karyawan - TP</v>
      </c>
      <c r="I221" s="58" t="s">
        <v>423</v>
      </c>
      <c r="J221" s="59" t="s">
        <v>424</v>
      </c>
      <c r="K221" s="21"/>
      <c r="L221" s="21"/>
      <c r="M221" s="16"/>
    </row>
    <row r="222" spans="1:13" ht="17.100000000000001" customHeight="1">
      <c r="A222" s="17">
        <v>46078</v>
      </c>
      <c r="B222" s="55" t="s">
        <v>283</v>
      </c>
      <c r="C222" s="55">
        <v>217</v>
      </c>
      <c r="D222" s="18" t="s">
        <v>293</v>
      </c>
      <c r="E222" s="39">
        <v>4000</v>
      </c>
      <c r="F222" s="26" t="s">
        <v>9</v>
      </c>
      <c r="G222" s="53" t="str">
        <f>VLOOKUP(F222,[3]Sheet2!$C$10:$E$231,2,FALSE)</f>
        <v>06.1.01.05.02</v>
      </c>
      <c r="H222" s="57" t="str">
        <f>VLOOKUP(F222,[3]Sheet2!$C$10:$E$231,3,FALSE)</f>
        <v>Transport lokal dan parkir - TP</v>
      </c>
      <c r="I222" s="58" t="s">
        <v>423</v>
      </c>
      <c r="J222" s="59" t="s">
        <v>424</v>
      </c>
      <c r="K222" s="21"/>
      <c r="L222" s="21"/>
      <c r="M222" s="16"/>
    </row>
    <row r="223" spans="1:13" ht="17.100000000000001" customHeight="1">
      <c r="A223" s="17">
        <v>46078</v>
      </c>
      <c r="B223" s="55" t="s">
        <v>283</v>
      </c>
      <c r="C223" s="55">
        <v>218</v>
      </c>
      <c r="D223" s="18" t="s">
        <v>294</v>
      </c>
      <c r="E223" s="40">
        <v>540000</v>
      </c>
      <c r="F223" s="26" t="s">
        <v>50</v>
      </c>
      <c r="G223" s="53" t="str">
        <f>VLOOKUP(F223,[3]Sheet2!$C$10:$E$231,2,FALSE)</f>
        <v>06.1.01.06.05</v>
      </c>
      <c r="H223" s="57" t="str">
        <f>VLOOKUP(F223,[3]Sheet2!$C$10:$E$231,3,FALSE)</f>
        <v>Pembelian Bahan Bakar Minyak (BBM) - TP</v>
      </c>
      <c r="I223" s="58" t="s">
        <v>423</v>
      </c>
      <c r="J223" s="59" t="s">
        <v>424</v>
      </c>
      <c r="K223" s="21"/>
      <c r="L223" s="21"/>
      <c r="M223" s="16"/>
    </row>
    <row r="224" spans="1:13" ht="17.100000000000001" customHeight="1">
      <c r="A224" s="17">
        <v>46078</v>
      </c>
      <c r="B224" s="55" t="s">
        <v>283</v>
      </c>
      <c r="C224" s="55">
        <v>219</v>
      </c>
      <c r="D224" s="18" t="s">
        <v>294</v>
      </c>
      <c r="E224" s="39">
        <v>540000</v>
      </c>
      <c r="F224" s="26" t="s">
        <v>50</v>
      </c>
      <c r="G224" s="53" t="str">
        <f>VLOOKUP(F224,[3]Sheet2!$C$10:$E$231,2,FALSE)</f>
        <v>06.1.01.06.05</v>
      </c>
      <c r="H224" s="57" t="str">
        <f>VLOOKUP(F224,[3]Sheet2!$C$10:$E$231,3,FALSE)</f>
        <v>Pembelian Bahan Bakar Minyak (BBM) - TP</v>
      </c>
      <c r="I224" s="58" t="s">
        <v>423</v>
      </c>
      <c r="J224" s="59" t="s">
        <v>424</v>
      </c>
      <c r="K224" s="21"/>
      <c r="L224" s="21"/>
      <c r="M224" s="16"/>
    </row>
    <row r="225" spans="1:13" ht="17.100000000000001" customHeight="1">
      <c r="A225" s="17">
        <v>46078</v>
      </c>
      <c r="B225" s="55" t="s">
        <v>283</v>
      </c>
      <c r="C225" s="55">
        <v>220</v>
      </c>
      <c r="D225" s="18" t="s">
        <v>295</v>
      </c>
      <c r="E225" s="39">
        <v>250000</v>
      </c>
      <c r="F225" s="26" t="s">
        <v>41</v>
      </c>
      <c r="G225" s="53" t="str">
        <f>VLOOKUP(F225,[3]Sheet2!$C$10:$E$231,2,FALSE)</f>
        <v>06.1.01.05.01</v>
      </c>
      <c r="H225" s="57" t="str">
        <f>VLOOKUP(F225,[3]Sheet2!$C$10:$E$231,3,FALSE)</f>
        <v>Perjalanan dinas - TP</v>
      </c>
      <c r="I225" s="58" t="s">
        <v>423</v>
      </c>
      <c r="J225" s="59" t="s">
        <v>424</v>
      </c>
      <c r="K225" s="21"/>
      <c r="L225" s="21"/>
      <c r="M225" s="16"/>
    </row>
    <row r="226" spans="1:13" ht="17.100000000000001" customHeight="1">
      <c r="A226" s="17">
        <v>46078</v>
      </c>
      <c r="B226" s="55" t="s">
        <v>283</v>
      </c>
      <c r="C226" s="55">
        <v>221</v>
      </c>
      <c r="D226" s="18" t="s">
        <v>296</v>
      </c>
      <c r="E226" s="40">
        <v>3500</v>
      </c>
      <c r="F226" s="26" t="s">
        <v>39</v>
      </c>
      <c r="G226" s="53" t="str">
        <f>VLOOKUP(F226,[3]Sheet2!$C$10:$E$231,2,FALSE)</f>
        <v>06.1.01.02.17</v>
      </c>
      <c r="H226" s="57" t="str">
        <f>VLOOKUP(F226,[3]Sheet2!$C$10:$E$231,3,FALSE)</f>
        <v>Administrasi Bank, umum dan surat menyurat - TP</v>
      </c>
      <c r="I226" s="58" t="s">
        <v>423</v>
      </c>
      <c r="J226" s="59" t="s">
        <v>424</v>
      </c>
      <c r="K226" s="21"/>
      <c r="L226" s="21"/>
      <c r="M226" s="16"/>
    </row>
    <row r="227" spans="1:13" ht="33" customHeight="1">
      <c r="A227" s="17">
        <v>46078</v>
      </c>
      <c r="B227" s="55" t="s">
        <v>283</v>
      </c>
      <c r="C227" s="55">
        <v>222</v>
      </c>
      <c r="D227" s="27" t="s">
        <v>297</v>
      </c>
      <c r="E227" s="39">
        <v>100000</v>
      </c>
      <c r="F227" s="26" t="s">
        <v>41</v>
      </c>
      <c r="G227" s="53" t="str">
        <f>VLOOKUP(F227,[3]Sheet2!$C$10:$E$231,2,FALSE)</f>
        <v>06.1.01.05.01</v>
      </c>
      <c r="H227" s="57" t="str">
        <f>VLOOKUP(F227,[3]Sheet2!$C$10:$E$231,3,FALSE)</f>
        <v>Perjalanan dinas - TP</v>
      </c>
      <c r="I227" s="58" t="s">
        <v>423</v>
      </c>
      <c r="J227" s="59" t="s">
        <v>424</v>
      </c>
      <c r="K227" s="21"/>
      <c r="L227" s="21"/>
      <c r="M227" s="16"/>
    </row>
    <row r="228" spans="1:13" ht="17.100000000000001" customHeight="1">
      <c r="A228" s="17">
        <v>46078</v>
      </c>
      <c r="B228" s="55" t="s">
        <v>283</v>
      </c>
      <c r="C228" s="55">
        <v>223</v>
      </c>
      <c r="D228" s="18" t="s">
        <v>298</v>
      </c>
      <c r="E228" s="40">
        <v>125000</v>
      </c>
      <c r="F228" s="26" t="s">
        <v>41</v>
      </c>
      <c r="G228" s="53" t="str">
        <f>VLOOKUP(F228,[3]Sheet2!$C$10:$E$231,2,FALSE)</f>
        <v>06.1.01.05.01</v>
      </c>
      <c r="H228" s="57" t="str">
        <f>VLOOKUP(F228,[3]Sheet2!$C$10:$E$231,3,FALSE)</f>
        <v>Perjalanan dinas - TP</v>
      </c>
      <c r="I228" s="58" t="s">
        <v>423</v>
      </c>
      <c r="J228" s="59" t="s">
        <v>424</v>
      </c>
      <c r="K228" s="21"/>
      <c r="L228" s="21"/>
      <c r="M228" s="16"/>
    </row>
    <row r="229" spans="1:13" ht="17.100000000000001" customHeight="1">
      <c r="A229" s="17">
        <v>46078</v>
      </c>
      <c r="B229" s="55" t="s">
        <v>283</v>
      </c>
      <c r="C229" s="55">
        <v>224</v>
      </c>
      <c r="D229" s="18" t="s">
        <v>299</v>
      </c>
      <c r="E229" s="40">
        <f>480000-50000</f>
        <v>430000</v>
      </c>
      <c r="F229" s="26" t="s">
        <v>192</v>
      </c>
      <c r="G229" s="53" t="str">
        <f>VLOOKUP(F229,[3]Sheet2!$C$10:$E$231,2,FALSE)</f>
        <v>06.1.01.03.14</v>
      </c>
      <c r="H229" s="57" t="str">
        <f>VLOOKUP(F229,[3]Sheet2!$C$10:$E$231,3,FALSE)</f>
        <v>Perlengkapan kebersihan dan rumah tangga - TP</v>
      </c>
      <c r="I229" s="58" t="s">
        <v>423</v>
      </c>
      <c r="J229" s="59" t="s">
        <v>424</v>
      </c>
      <c r="K229" s="21"/>
      <c r="L229" s="21"/>
      <c r="M229" s="16"/>
    </row>
    <row r="230" spans="1:13" ht="17.100000000000001" customHeight="1">
      <c r="A230" s="17">
        <v>46078</v>
      </c>
      <c r="B230" s="55" t="s">
        <v>283</v>
      </c>
      <c r="C230" s="55">
        <v>225</v>
      </c>
      <c r="D230" s="18" t="s">
        <v>300</v>
      </c>
      <c r="E230" s="41">
        <v>700000</v>
      </c>
      <c r="F230" s="26" t="s">
        <v>41</v>
      </c>
      <c r="G230" s="53" t="str">
        <f>VLOOKUP(F230,[3]Sheet2!$C$10:$E$231,2,FALSE)</f>
        <v>06.1.01.05.01</v>
      </c>
      <c r="H230" s="57" t="str">
        <f>VLOOKUP(F230,[3]Sheet2!$C$10:$E$231,3,FALSE)</f>
        <v>Perjalanan dinas - TP</v>
      </c>
      <c r="I230" s="58" t="s">
        <v>423</v>
      </c>
      <c r="J230" s="59" t="s">
        <v>424</v>
      </c>
      <c r="K230" s="21"/>
      <c r="L230" s="21"/>
      <c r="M230" s="16"/>
    </row>
    <row r="231" spans="1:13" ht="17.100000000000001" customHeight="1">
      <c r="A231" s="17">
        <v>46078</v>
      </c>
      <c r="B231" s="55" t="s">
        <v>283</v>
      </c>
      <c r="C231" s="55">
        <v>226</v>
      </c>
      <c r="D231" s="18" t="s">
        <v>301</v>
      </c>
      <c r="E231" s="39">
        <v>500000</v>
      </c>
      <c r="F231" s="26" t="s">
        <v>41</v>
      </c>
      <c r="G231" s="53" t="str">
        <f>VLOOKUP(F231,[3]Sheet2!$C$10:$E$231,2,FALSE)</f>
        <v>06.1.01.05.01</v>
      </c>
      <c r="H231" s="57" t="str">
        <f>VLOOKUP(F231,[3]Sheet2!$C$10:$E$231,3,FALSE)</f>
        <v>Perjalanan dinas - TP</v>
      </c>
      <c r="I231" s="58" t="s">
        <v>423</v>
      </c>
      <c r="J231" s="59" t="s">
        <v>424</v>
      </c>
      <c r="K231" s="21"/>
      <c r="L231" s="21"/>
      <c r="M231" s="16"/>
    </row>
    <row r="232" spans="1:13" ht="17.100000000000001" customHeight="1">
      <c r="A232" s="17">
        <v>46078</v>
      </c>
      <c r="B232" s="55" t="s">
        <v>283</v>
      </c>
      <c r="C232" s="55">
        <v>227</v>
      </c>
      <c r="D232" s="18" t="s">
        <v>302</v>
      </c>
      <c r="E232" s="39">
        <v>750000</v>
      </c>
      <c r="F232" s="26" t="s">
        <v>41</v>
      </c>
      <c r="G232" s="53" t="str">
        <f>VLOOKUP(F232,[3]Sheet2!$C$10:$E$231,2,FALSE)</f>
        <v>06.1.01.05.01</v>
      </c>
      <c r="H232" s="57" t="str">
        <f>VLOOKUP(F232,[3]Sheet2!$C$10:$E$231,3,FALSE)</f>
        <v>Perjalanan dinas - TP</v>
      </c>
      <c r="I232" s="58" t="s">
        <v>423</v>
      </c>
      <c r="J232" s="59" t="s">
        <v>424</v>
      </c>
      <c r="K232" s="21"/>
      <c r="L232" s="21"/>
      <c r="M232" s="16"/>
    </row>
    <row r="233" spans="1:13" ht="17.100000000000001" customHeight="1">
      <c r="A233" s="17">
        <v>46078</v>
      </c>
      <c r="B233" s="55" t="s">
        <v>283</v>
      </c>
      <c r="C233" s="55">
        <v>228</v>
      </c>
      <c r="D233" s="18" t="s">
        <v>289</v>
      </c>
      <c r="E233" s="39">
        <v>180000</v>
      </c>
      <c r="F233" s="26" t="s">
        <v>71</v>
      </c>
      <c r="G233" s="53" t="str">
        <f>VLOOKUP(F233,[3]Sheet2!$C$10:$E$231,2,FALSE)</f>
        <v>06.1.01.03.11</v>
      </c>
      <c r="H233" s="57" t="str">
        <f>VLOOKUP(F233,[3]Sheet2!$C$10:$E$231,3,FALSE)</f>
        <v>Belanja Fotocopy, Jilid, Laminating dan Materai - TP</v>
      </c>
      <c r="I233" s="58" t="s">
        <v>423</v>
      </c>
      <c r="J233" s="59" t="s">
        <v>424</v>
      </c>
      <c r="K233" s="21"/>
      <c r="L233" s="21"/>
      <c r="M233" s="16"/>
    </row>
    <row r="234" spans="1:13" ht="17.100000000000001" customHeight="1">
      <c r="A234" s="17">
        <v>46078</v>
      </c>
      <c r="B234" s="55" t="s">
        <v>283</v>
      </c>
      <c r="C234" s="55">
        <v>229</v>
      </c>
      <c r="D234" s="18" t="s">
        <v>303</v>
      </c>
      <c r="E234" s="39">
        <v>90000</v>
      </c>
      <c r="F234" s="26" t="s">
        <v>19</v>
      </c>
      <c r="G234" s="53" t="str">
        <f>VLOOKUP(F234,[3]Sheet2!$C$10:$E$231,2,FALSE)</f>
        <v>06.1.01.03.08</v>
      </c>
      <c r="H234" s="57" t="str">
        <f>VLOOKUP(F234,[3]Sheet2!$C$10:$E$231,3,FALSE)</f>
        <v>Biaya Konsumsi Karyawan - TP</v>
      </c>
      <c r="I234" s="58" t="s">
        <v>423</v>
      </c>
      <c r="J234" s="59" t="s">
        <v>424</v>
      </c>
      <c r="K234" s="21"/>
      <c r="L234" s="21"/>
      <c r="M234" s="16"/>
    </row>
    <row r="235" spans="1:13" ht="17.100000000000001" customHeight="1">
      <c r="A235" s="17">
        <v>46078</v>
      </c>
      <c r="B235" s="55" t="s">
        <v>283</v>
      </c>
      <c r="C235" s="55">
        <v>230</v>
      </c>
      <c r="D235" s="18" t="s">
        <v>304</v>
      </c>
      <c r="E235" s="39">
        <v>20000</v>
      </c>
      <c r="F235" s="26" t="s">
        <v>19</v>
      </c>
      <c r="G235" s="53" t="str">
        <f>VLOOKUP(F235,[3]Sheet2!$C$10:$E$231,2,FALSE)</f>
        <v>06.1.01.03.08</v>
      </c>
      <c r="H235" s="57" t="str">
        <f>VLOOKUP(F235,[3]Sheet2!$C$10:$E$231,3,FALSE)</f>
        <v>Biaya Konsumsi Karyawan - TP</v>
      </c>
      <c r="I235" s="58" t="s">
        <v>423</v>
      </c>
      <c r="J235" s="59" t="s">
        <v>424</v>
      </c>
      <c r="K235" s="21"/>
      <c r="L235" s="21"/>
      <c r="M235" s="16"/>
    </row>
    <row r="236" spans="1:13" ht="17.100000000000001" customHeight="1">
      <c r="A236" s="17">
        <v>46078</v>
      </c>
      <c r="B236" s="55" t="s">
        <v>283</v>
      </c>
      <c r="C236" s="55">
        <v>231</v>
      </c>
      <c r="D236" s="18" t="s">
        <v>305</v>
      </c>
      <c r="E236" s="39">
        <v>1006000</v>
      </c>
      <c r="F236" s="26" t="s">
        <v>19</v>
      </c>
      <c r="G236" s="53" t="str">
        <f>VLOOKUP(F236,[3]Sheet2!$C$10:$E$231,2,FALSE)</f>
        <v>06.1.01.03.08</v>
      </c>
      <c r="H236" s="57" t="str">
        <f>VLOOKUP(F236,[3]Sheet2!$C$10:$E$231,3,FALSE)</f>
        <v>Biaya Konsumsi Karyawan - TP</v>
      </c>
      <c r="I236" s="58" t="s">
        <v>423</v>
      </c>
      <c r="J236" s="59" t="s">
        <v>424</v>
      </c>
      <c r="K236" s="21"/>
      <c r="L236" s="21"/>
      <c r="M236" s="16"/>
    </row>
    <row r="237" spans="1:13" ht="17.100000000000001" customHeight="1">
      <c r="A237" s="17">
        <v>46078</v>
      </c>
      <c r="B237" s="55" t="s">
        <v>283</v>
      </c>
      <c r="C237" s="55">
        <v>232</v>
      </c>
      <c r="D237" s="18" t="s">
        <v>306</v>
      </c>
      <c r="E237" s="39">
        <v>2900</v>
      </c>
      <c r="F237" s="26" t="s">
        <v>307</v>
      </c>
      <c r="G237" s="53" t="str">
        <f>VLOOKUP(F237,[3]Sheet2!$C$10:$E$231,2,FALSE)</f>
        <v>06.1.02.03.12</v>
      </c>
      <c r="H237" s="57" t="str">
        <f>VLOOKUP(F237,[3]Sheet2!$C$10:$E$231,3,FALSE)</f>
        <v>Seleksi Penerimaan Mahasiswa Baru - TP</v>
      </c>
      <c r="I237" s="58" t="s">
        <v>423</v>
      </c>
      <c r="J237" s="59" t="s">
        <v>424</v>
      </c>
      <c r="K237" s="21"/>
      <c r="L237" s="21"/>
      <c r="M237" s="16"/>
    </row>
    <row r="238" spans="1:13" ht="17.100000000000001" customHeight="1">
      <c r="A238" s="17">
        <v>46078</v>
      </c>
      <c r="B238" s="55" t="s">
        <v>283</v>
      </c>
      <c r="C238" s="55">
        <v>233</v>
      </c>
      <c r="D238" s="18" t="s">
        <v>308</v>
      </c>
      <c r="E238" s="39">
        <v>2900</v>
      </c>
      <c r="F238" s="26" t="s">
        <v>39</v>
      </c>
      <c r="G238" s="53" t="str">
        <f>VLOOKUP(F238,[3]Sheet2!$C$10:$E$231,2,FALSE)</f>
        <v>06.1.01.02.17</v>
      </c>
      <c r="H238" s="57" t="str">
        <f>VLOOKUP(F238,[3]Sheet2!$C$10:$E$231,3,FALSE)</f>
        <v>Administrasi Bank, umum dan surat menyurat - TP</v>
      </c>
      <c r="I238" s="58" t="s">
        <v>423</v>
      </c>
      <c r="J238" s="59" t="s">
        <v>424</v>
      </c>
      <c r="K238" s="21"/>
      <c r="L238" s="21"/>
      <c r="M238" s="16"/>
    </row>
    <row r="239" spans="1:13" ht="17.100000000000001" customHeight="1">
      <c r="A239" s="17">
        <v>46078</v>
      </c>
      <c r="B239" s="55" t="s">
        <v>283</v>
      </c>
      <c r="C239" s="55">
        <v>234</v>
      </c>
      <c r="D239" s="18" t="s">
        <v>308</v>
      </c>
      <c r="E239" s="39">
        <v>2900</v>
      </c>
      <c r="F239" s="26" t="s">
        <v>39</v>
      </c>
      <c r="G239" s="53" t="str">
        <f>VLOOKUP(F239,[3]Sheet2!$C$10:$E$231,2,FALSE)</f>
        <v>06.1.01.02.17</v>
      </c>
      <c r="H239" s="57" t="str">
        <f>VLOOKUP(F239,[3]Sheet2!$C$10:$E$231,3,FALSE)</f>
        <v>Administrasi Bank, umum dan surat menyurat - TP</v>
      </c>
      <c r="I239" s="58" t="s">
        <v>423</v>
      </c>
      <c r="J239" s="59" t="s">
        <v>424</v>
      </c>
      <c r="K239" s="21"/>
      <c r="L239" s="21"/>
      <c r="M239" s="16"/>
    </row>
    <row r="240" spans="1:13" ht="17.100000000000001" customHeight="1">
      <c r="A240" s="17">
        <v>46078</v>
      </c>
      <c r="B240" s="55" t="s">
        <v>283</v>
      </c>
      <c r="C240" s="55">
        <v>235</v>
      </c>
      <c r="D240" s="18" t="s">
        <v>308</v>
      </c>
      <c r="E240" s="39">
        <v>2900</v>
      </c>
      <c r="F240" s="26" t="s">
        <v>39</v>
      </c>
      <c r="G240" s="53" t="str">
        <f>VLOOKUP(F240,[3]Sheet2!$C$10:$E$231,2,FALSE)</f>
        <v>06.1.01.02.17</v>
      </c>
      <c r="H240" s="57" t="str">
        <f>VLOOKUP(F240,[3]Sheet2!$C$10:$E$231,3,FALSE)</f>
        <v>Administrasi Bank, umum dan surat menyurat - TP</v>
      </c>
      <c r="I240" s="58" t="s">
        <v>423</v>
      </c>
      <c r="J240" s="59" t="s">
        <v>424</v>
      </c>
      <c r="K240" s="21"/>
      <c r="L240" s="21"/>
      <c r="M240" s="16"/>
    </row>
    <row r="241" spans="1:13" ht="17.100000000000001" customHeight="1">
      <c r="A241" s="17">
        <v>46078</v>
      </c>
      <c r="B241" s="55" t="s">
        <v>283</v>
      </c>
      <c r="C241" s="55">
        <v>236</v>
      </c>
      <c r="D241" s="18" t="s">
        <v>308</v>
      </c>
      <c r="E241" s="39">
        <v>2900</v>
      </c>
      <c r="F241" s="26" t="s">
        <v>39</v>
      </c>
      <c r="G241" s="53" t="str">
        <f>VLOOKUP(F241,[3]Sheet2!$C$10:$E$231,2,FALSE)</f>
        <v>06.1.01.02.17</v>
      </c>
      <c r="H241" s="57" t="str">
        <f>VLOOKUP(F241,[3]Sheet2!$C$10:$E$231,3,FALSE)</f>
        <v>Administrasi Bank, umum dan surat menyurat - TP</v>
      </c>
      <c r="I241" s="58" t="s">
        <v>423</v>
      </c>
      <c r="J241" s="59" t="s">
        <v>424</v>
      </c>
      <c r="K241" s="21"/>
      <c r="L241" s="21"/>
      <c r="M241" s="16"/>
    </row>
    <row r="242" spans="1:13" ht="17.100000000000001" customHeight="1">
      <c r="A242" s="17">
        <v>46078</v>
      </c>
      <c r="B242" s="55" t="s">
        <v>283</v>
      </c>
      <c r="C242" s="55">
        <v>237</v>
      </c>
      <c r="D242" s="18" t="s">
        <v>309</v>
      </c>
      <c r="E242" s="39">
        <v>3500</v>
      </c>
      <c r="F242" s="26" t="s">
        <v>39</v>
      </c>
      <c r="G242" s="53" t="str">
        <f>VLOOKUP(F242,[3]Sheet2!$C$10:$E$231,2,FALSE)</f>
        <v>06.1.01.02.17</v>
      </c>
      <c r="H242" s="57" t="str">
        <f>VLOOKUP(F242,[3]Sheet2!$C$10:$E$231,3,FALSE)</f>
        <v>Administrasi Bank, umum dan surat menyurat - TP</v>
      </c>
      <c r="I242" s="58" t="s">
        <v>423</v>
      </c>
      <c r="J242" s="59" t="s">
        <v>424</v>
      </c>
      <c r="K242" s="21"/>
      <c r="L242" s="21"/>
      <c r="M242" s="16"/>
    </row>
    <row r="243" spans="1:13" ht="17.100000000000001" customHeight="1">
      <c r="A243" s="17">
        <v>46078</v>
      </c>
      <c r="B243" s="55" t="s">
        <v>283</v>
      </c>
      <c r="C243" s="55">
        <v>238</v>
      </c>
      <c r="D243" s="18" t="s">
        <v>293</v>
      </c>
      <c r="E243" s="39">
        <v>2000</v>
      </c>
      <c r="F243" s="26" t="s">
        <v>9</v>
      </c>
      <c r="G243" s="53" t="str">
        <f>VLOOKUP(F243,[3]Sheet2!$C$10:$E$231,2,FALSE)</f>
        <v>06.1.01.05.02</v>
      </c>
      <c r="H243" s="57" t="str">
        <f>VLOOKUP(F243,[3]Sheet2!$C$10:$E$231,3,FALSE)</f>
        <v>Transport lokal dan parkir - TP</v>
      </c>
      <c r="I243" s="58" t="s">
        <v>423</v>
      </c>
      <c r="J243" s="59" t="s">
        <v>424</v>
      </c>
      <c r="K243" s="21"/>
      <c r="L243" s="21"/>
      <c r="M243" s="16"/>
    </row>
    <row r="244" spans="1:13" ht="17.100000000000001" customHeight="1">
      <c r="A244" s="17">
        <v>46078</v>
      </c>
      <c r="B244" s="55" t="s">
        <v>283</v>
      </c>
      <c r="C244" s="55">
        <v>239</v>
      </c>
      <c r="D244" s="18" t="s">
        <v>310</v>
      </c>
      <c r="E244" s="39">
        <v>50000</v>
      </c>
      <c r="F244" s="26" t="s">
        <v>192</v>
      </c>
      <c r="G244" s="53" t="str">
        <f>VLOOKUP(F244,[3]Sheet2!$C$10:$E$231,2,FALSE)</f>
        <v>06.1.01.03.14</v>
      </c>
      <c r="H244" s="57" t="str">
        <f>VLOOKUP(F244,[3]Sheet2!$C$10:$E$231,3,FALSE)</f>
        <v>Perlengkapan kebersihan dan rumah tangga - TP</v>
      </c>
      <c r="I244" s="58" t="s">
        <v>423</v>
      </c>
      <c r="J244" s="59" t="s">
        <v>424</v>
      </c>
      <c r="K244" s="21"/>
      <c r="L244" s="21"/>
      <c r="M244" s="16"/>
    </row>
    <row r="245" spans="1:13" ht="17.100000000000001" customHeight="1">
      <c r="A245" s="17">
        <v>46078</v>
      </c>
      <c r="B245" s="55" t="s">
        <v>283</v>
      </c>
      <c r="C245" s="55">
        <v>240</v>
      </c>
      <c r="D245" s="18" t="s">
        <v>311</v>
      </c>
      <c r="E245" s="39">
        <v>100000</v>
      </c>
      <c r="F245" s="26" t="s">
        <v>9</v>
      </c>
      <c r="G245" s="53" t="str">
        <f>VLOOKUP(F245,[3]Sheet2!$C$10:$E$231,2,FALSE)</f>
        <v>06.1.01.05.02</v>
      </c>
      <c r="H245" s="57" t="str">
        <f>VLOOKUP(F245,[3]Sheet2!$C$10:$E$231,3,FALSE)</f>
        <v>Transport lokal dan parkir - TP</v>
      </c>
      <c r="I245" s="58" t="s">
        <v>423</v>
      </c>
      <c r="J245" s="59" t="s">
        <v>424</v>
      </c>
      <c r="K245" s="21"/>
      <c r="L245" s="21"/>
      <c r="M245" s="16"/>
    </row>
    <row r="246" spans="1:13" ht="17.100000000000001" customHeight="1">
      <c r="A246" s="17">
        <v>46078</v>
      </c>
      <c r="B246" s="55" t="s">
        <v>283</v>
      </c>
      <c r="C246" s="55">
        <v>241</v>
      </c>
      <c r="D246" s="18" t="s">
        <v>312</v>
      </c>
      <c r="E246" s="39">
        <v>108000</v>
      </c>
      <c r="F246" s="26" t="s">
        <v>23</v>
      </c>
      <c r="G246" s="53" t="str">
        <f>VLOOKUP(F246,[3]Sheet2!$C$10:$E$231,2,FALSE)</f>
        <v>06.1.01.03.06</v>
      </c>
      <c r="H246" s="57" t="str">
        <f>VLOOKUP(F246,[3]Sheet2!$C$10:$E$231,3,FALSE)</f>
        <v>Biaya  Barang Inventaris Kantor - TP</v>
      </c>
      <c r="I246" s="58" t="s">
        <v>423</v>
      </c>
      <c r="J246" s="59" t="s">
        <v>424</v>
      </c>
      <c r="K246" s="21"/>
      <c r="L246" s="21"/>
      <c r="M246" s="16"/>
    </row>
    <row r="247" spans="1:13" ht="17.100000000000001" customHeight="1">
      <c r="A247" s="17">
        <v>46078</v>
      </c>
      <c r="B247" s="55" t="s">
        <v>283</v>
      </c>
      <c r="C247" s="55">
        <v>242</v>
      </c>
      <c r="D247" s="18" t="s">
        <v>312</v>
      </c>
      <c r="E247" s="39">
        <v>99000</v>
      </c>
      <c r="F247" s="26" t="s">
        <v>23</v>
      </c>
      <c r="G247" s="53" t="str">
        <f>VLOOKUP(F247,[3]Sheet2!$C$10:$E$231,2,FALSE)</f>
        <v>06.1.01.03.06</v>
      </c>
      <c r="H247" s="57" t="str">
        <f>VLOOKUP(F247,[3]Sheet2!$C$10:$E$231,3,FALSE)</f>
        <v>Biaya  Barang Inventaris Kantor - TP</v>
      </c>
      <c r="I247" s="58" t="s">
        <v>423</v>
      </c>
      <c r="J247" s="59" t="s">
        <v>424</v>
      </c>
      <c r="K247" s="21"/>
      <c r="L247" s="21"/>
      <c r="M247" s="16"/>
    </row>
    <row r="248" spans="1:13" ht="17.100000000000001" customHeight="1">
      <c r="A248" s="17">
        <v>46078</v>
      </c>
      <c r="B248" s="55" t="s">
        <v>283</v>
      </c>
      <c r="C248" s="55">
        <v>243</v>
      </c>
      <c r="D248" s="18" t="s">
        <v>313</v>
      </c>
      <c r="E248" s="39">
        <v>240000</v>
      </c>
      <c r="F248" s="26" t="s">
        <v>23</v>
      </c>
      <c r="G248" s="53" t="str">
        <f>VLOOKUP(F248,[3]Sheet2!$C$10:$E$231,2,FALSE)</f>
        <v>06.1.01.03.06</v>
      </c>
      <c r="H248" s="57" t="str">
        <f>VLOOKUP(F248,[3]Sheet2!$C$10:$E$231,3,FALSE)</f>
        <v>Biaya  Barang Inventaris Kantor - TP</v>
      </c>
      <c r="I248" s="58" t="s">
        <v>423</v>
      </c>
      <c r="J248" s="59" t="s">
        <v>424</v>
      </c>
      <c r="K248" s="21"/>
      <c r="L248" s="21"/>
      <c r="M248" s="16"/>
    </row>
    <row r="249" spans="1:13" ht="17.100000000000001" customHeight="1">
      <c r="A249" s="17">
        <v>46078</v>
      </c>
      <c r="B249" s="55" t="s">
        <v>283</v>
      </c>
      <c r="C249" s="55">
        <v>244</v>
      </c>
      <c r="D249" s="18" t="s">
        <v>312</v>
      </c>
      <c r="E249" s="39">
        <v>28000</v>
      </c>
      <c r="F249" s="26" t="s">
        <v>23</v>
      </c>
      <c r="G249" s="53" t="str">
        <f>VLOOKUP(F249,[3]Sheet2!$C$10:$E$231,2,FALSE)</f>
        <v>06.1.01.03.06</v>
      </c>
      <c r="H249" s="57" t="str">
        <f>VLOOKUP(F249,[3]Sheet2!$C$10:$E$231,3,FALSE)</f>
        <v>Biaya  Barang Inventaris Kantor - TP</v>
      </c>
      <c r="I249" s="58" t="s">
        <v>423</v>
      </c>
      <c r="J249" s="59" t="s">
        <v>424</v>
      </c>
      <c r="K249" s="21"/>
      <c r="L249" s="21"/>
      <c r="M249" s="16"/>
    </row>
    <row r="250" spans="1:13" ht="17.100000000000001" customHeight="1">
      <c r="A250" s="17">
        <v>46078</v>
      </c>
      <c r="B250" s="55" t="s">
        <v>283</v>
      </c>
      <c r="C250" s="55">
        <v>245</v>
      </c>
      <c r="D250" s="18" t="s">
        <v>314</v>
      </c>
      <c r="E250" s="39">
        <v>25000</v>
      </c>
      <c r="F250" s="26" t="s">
        <v>23</v>
      </c>
      <c r="G250" s="53" t="str">
        <f>VLOOKUP(F250,[3]Sheet2!$C$10:$E$231,2,FALSE)</f>
        <v>06.1.01.03.06</v>
      </c>
      <c r="H250" s="57" t="str">
        <f>VLOOKUP(F250,[3]Sheet2!$C$10:$E$231,3,FALSE)</f>
        <v>Biaya  Barang Inventaris Kantor - TP</v>
      </c>
      <c r="I250" s="58" t="s">
        <v>423</v>
      </c>
      <c r="J250" s="59" t="s">
        <v>424</v>
      </c>
      <c r="K250" s="21"/>
      <c r="L250" s="21"/>
      <c r="M250" s="16"/>
    </row>
    <row r="251" spans="1:13" ht="17.100000000000001" customHeight="1">
      <c r="A251" s="17">
        <v>46078</v>
      </c>
      <c r="B251" s="55" t="s">
        <v>283</v>
      </c>
      <c r="C251" s="55">
        <v>246</v>
      </c>
      <c r="D251" s="18" t="s">
        <v>315</v>
      </c>
      <c r="E251" s="39">
        <v>1730000</v>
      </c>
      <c r="F251" s="26" t="s">
        <v>316</v>
      </c>
      <c r="G251" s="53" t="str">
        <f>VLOOKUP(F251,[3]Sheet2!$C$10:$E$231,2,FALSE)</f>
        <v>06.1.01.03.01</v>
      </c>
      <c r="H251" s="57" t="str">
        <f>VLOOKUP(F251,[3]Sheet2!$C$10:$E$231,3,FALSE)</f>
        <v>Biaya Pembelian  Alat Listrik dan Elektronik - TP</v>
      </c>
      <c r="I251" s="58" t="s">
        <v>423</v>
      </c>
      <c r="J251" s="59" t="s">
        <v>424</v>
      </c>
      <c r="K251" s="21"/>
      <c r="L251" s="21"/>
      <c r="M251" s="16"/>
    </row>
    <row r="252" spans="1:13" ht="17.100000000000001" customHeight="1">
      <c r="A252" s="17">
        <v>46078</v>
      </c>
      <c r="B252" s="55" t="s">
        <v>283</v>
      </c>
      <c r="C252" s="55">
        <v>247</v>
      </c>
      <c r="D252" s="18" t="s">
        <v>317</v>
      </c>
      <c r="E252" s="39">
        <v>270200</v>
      </c>
      <c r="F252" s="26" t="s">
        <v>23</v>
      </c>
      <c r="G252" s="53" t="str">
        <f>VLOOKUP(F252,[3]Sheet2!$C$10:$E$231,2,FALSE)</f>
        <v>06.1.01.03.06</v>
      </c>
      <c r="H252" s="57" t="str">
        <f>VLOOKUP(F252,[3]Sheet2!$C$10:$E$231,3,FALSE)</f>
        <v>Biaya  Barang Inventaris Kantor - TP</v>
      </c>
      <c r="I252" s="58" t="s">
        <v>423</v>
      </c>
      <c r="J252" s="59" t="s">
        <v>424</v>
      </c>
      <c r="K252" s="21"/>
      <c r="L252" s="21"/>
      <c r="M252" s="16"/>
    </row>
    <row r="253" spans="1:13" ht="17.100000000000001" customHeight="1">
      <c r="A253" s="17">
        <v>46078</v>
      </c>
      <c r="B253" s="55" t="s">
        <v>283</v>
      </c>
      <c r="C253" s="55">
        <v>248</v>
      </c>
      <c r="D253" s="18" t="s">
        <v>318</v>
      </c>
      <c r="E253" s="39">
        <v>350000</v>
      </c>
      <c r="F253" s="26" t="s">
        <v>23</v>
      </c>
      <c r="G253" s="53" t="str">
        <f>VLOOKUP(F253,[3]Sheet2!$C$10:$E$231,2,FALSE)</f>
        <v>06.1.01.03.06</v>
      </c>
      <c r="H253" s="57" t="str">
        <f>VLOOKUP(F253,[3]Sheet2!$C$10:$E$231,3,FALSE)</f>
        <v>Biaya  Barang Inventaris Kantor - TP</v>
      </c>
      <c r="I253" s="58" t="s">
        <v>423</v>
      </c>
      <c r="J253" s="59" t="s">
        <v>424</v>
      </c>
      <c r="K253" s="21"/>
      <c r="L253" s="21"/>
      <c r="M253" s="16"/>
    </row>
    <row r="254" spans="1:13" ht="17.100000000000001" customHeight="1">
      <c r="A254" s="17">
        <v>46078</v>
      </c>
      <c r="B254" s="55" t="s">
        <v>283</v>
      </c>
      <c r="C254" s="55">
        <v>249</v>
      </c>
      <c r="D254" s="18" t="s">
        <v>319</v>
      </c>
      <c r="E254" s="39">
        <v>55000</v>
      </c>
      <c r="F254" s="26" t="s">
        <v>23</v>
      </c>
      <c r="G254" s="53" t="str">
        <f>VLOOKUP(F254,[3]Sheet2!$C$10:$E$231,2,FALSE)</f>
        <v>06.1.01.03.06</v>
      </c>
      <c r="H254" s="57" t="str">
        <f>VLOOKUP(F254,[3]Sheet2!$C$10:$E$231,3,FALSE)</f>
        <v>Biaya  Barang Inventaris Kantor - TP</v>
      </c>
      <c r="I254" s="58" t="s">
        <v>423</v>
      </c>
      <c r="J254" s="59" t="s">
        <v>424</v>
      </c>
      <c r="K254" s="21"/>
      <c r="L254" s="21"/>
      <c r="M254" s="16"/>
    </row>
    <row r="255" spans="1:13" ht="17.100000000000001" customHeight="1">
      <c r="A255" s="17">
        <v>46078</v>
      </c>
      <c r="B255" s="55" t="s">
        <v>283</v>
      </c>
      <c r="C255" s="55">
        <v>250</v>
      </c>
      <c r="D255" s="18" t="s">
        <v>320</v>
      </c>
      <c r="E255" s="39">
        <v>405000</v>
      </c>
      <c r="F255" s="26" t="s">
        <v>50</v>
      </c>
      <c r="G255" s="53" t="str">
        <f>VLOOKUP(F255,[3]Sheet2!$C$10:$E$231,2,FALSE)</f>
        <v>06.1.01.06.05</v>
      </c>
      <c r="H255" s="57" t="str">
        <f>VLOOKUP(F255,[3]Sheet2!$C$10:$E$231,3,FALSE)</f>
        <v>Pembelian Bahan Bakar Minyak (BBM) - TP</v>
      </c>
      <c r="I255" s="58" t="s">
        <v>423</v>
      </c>
      <c r="J255" s="59" t="s">
        <v>424</v>
      </c>
      <c r="K255" s="21"/>
      <c r="L255" s="21"/>
      <c r="M255" s="16"/>
    </row>
    <row r="256" spans="1:13" ht="17.100000000000001" customHeight="1">
      <c r="A256" s="17">
        <v>46078</v>
      </c>
      <c r="B256" s="55" t="s">
        <v>283</v>
      </c>
      <c r="C256" s="55">
        <v>251</v>
      </c>
      <c r="D256" s="18" t="s">
        <v>321</v>
      </c>
      <c r="E256" s="39">
        <v>405000</v>
      </c>
      <c r="F256" s="26" t="s">
        <v>50</v>
      </c>
      <c r="G256" s="53" t="str">
        <f>VLOOKUP(F256,[3]Sheet2!$C$10:$E$231,2,FALSE)</f>
        <v>06.1.01.06.05</v>
      </c>
      <c r="H256" s="57" t="str">
        <f>VLOOKUP(F256,[3]Sheet2!$C$10:$E$231,3,FALSE)</f>
        <v>Pembelian Bahan Bakar Minyak (BBM) - TP</v>
      </c>
      <c r="I256" s="58" t="s">
        <v>423</v>
      </c>
      <c r="J256" s="59" t="s">
        <v>424</v>
      </c>
      <c r="K256" s="21"/>
      <c r="L256" s="21"/>
      <c r="M256" s="16"/>
    </row>
    <row r="257" spans="1:13" ht="17.100000000000001" customHeight="1">
      <c r="A257" s="17">
        <v>46078</v>
      </c>
      <c r="B257" s="55" t="s">
        <v>283</v>
      </c>
      <c r="C257" s="55">
        <v>252</v>
      </c>
      <c r="D257" s="18" t="s">
        <v>322</v>
      </c>
      <c r="E257" s="39">
        <v>354000</v>
      </c>
      <c r="F257" s="26" t="s">
        <v>50</v>
      </c>
      <c r="G257" s="53" t="str">
        <f>VLOOKUP(F257,[3]Sheet2!$C$10:$E$231,2,FALSE)</f>
        <v>06.1.01.06.05</v>
      </c>
      <c r="H257" s="57" t="str">
        <f>VLOOKUP(F257,[3]Sheet2!$C$10:$E$231,3,FALSE)</f>
        <v>Pembelian Bahan Bakar Minyak (BBM) - TP</v>
      </c>
      <c r="I257" s="58" t="s">
        <v>423</v>
      </c>
      <c r="J257" s="59" t="s">
        <v>424</v>
      </c>
      <c r="K257" s="21"/>
      <c r="L257" s="21"/>
      <c r="M257" s="16"/>
    </row>
    <row r="258" spans="1:13" ht="17.100000000000001" customHeight="1">
      <c r="A258" s="17">
        <v>46078</v>
      </c>
      <c r="B258" s="55" t="s">
        <v>283</v>
      </c>
      <c r="C258" s="55">
        <v>253</v>
      </c>
      <c r="D258" s="18" t="s">
        <v>323</v>
      </c>
      <c r="E258" s="39">
        <v>100000</v>
      </c>
      <c r="F258" s="26" t="s">
        <v>9</v>
      </c>
      <c r="G258" s="53" t="str">
        <f>VLOOKUP(F258,[3]Sheet2!$C$10:$E$231,2,FALSE)</f>
        <v>06.1.01.05.02</v>
      </c>
      <c r="H258" s="57" t="str">
        <f>VLOOKUP(F258,[3]Sheet2!$C$10:$E$231,3,FALSE)</f>
        <v>Transport lokal dan parkir - TP</v>
      </c>
      <c r="I258" s="58" t="s">
        <v>423</v>
      </c>
      <c r="J258" s="59" t="s">
        <v>424</v>
      </c>
      <c r="K258" s="21"/>
      <c r="L258" s="21"/>
      <c r="M258" s="16"/>
    </row>
    <row r="259" spans="1:13" ht="17.100000000000001" customHeight="1">
      <c r="A259" s="17">
        <v>46078</v>
      </c>
      <c r="B259" s="55" t="s">
        <v>283</v>
      </c>
      <c r="C259" s="55">
        <v>254</v>
      </c>
      <c r="D259" s="18" t="s">
        <v>324</v>
      </c>
      <c r="E259" s="39">
        <v>800000</v>
      </c>
      <c r="F259" s="26" t="s">
        <v>19</v>
      </c>
      <c r="G259" s="53" t="str">
        <f>VLOOKUP(F259,[3]Sheet2!$C$10:$E$231,2,FALSE)</f>
        <v>06.1.01.03.08</v>
      </c>
      <c r="H259" s="57" t="str">
        <f>VLOOKUP(F259,[3]Sheet2!$C$10:$E$231,3,FALSE)</f>
        <v>Biaya Konsumsi Karyawan - TP</v>
      </c>
      <c r="I259" s="58" t="s">
        <v>423</v>
      </c>
      <c r="J259" s="59" t="s">
        <v>424</v>
      </c>
      <c r="K259" s="21"/>
      <c r="L259" s="21"/>
      <c r="M259" s="16"/>
    </row>
    <row r="260" spans="1:13" ht="17.100000000000001" customHeight="1">
      <c r="A260" s="17">
        <v>46078</v>
      </c>
      <c r="B260" s="55" t="s">
        <v>283</v>
      </c>
      <c r="C260" s="55">
        <v>255</v>
      </c>
      <c r="D260" s="18" t="s">
        <v>325</v>
      </c>
      <c r="E260" s="39">
        <v>150000</v>
      </c>
      <c r="F260" s="26" t="s">
        <v>9</v>
      </c>
      <c r="G260" s="53" t="str">
        <f>VLOOKUP(F260,[3]Sheet2!$C$10:$E$231,2,FALSE)</f>
        <v>06.1.01.05.02</v>
      </c>
      <c r="H260" s="57" t="str">
        <f>VLOOKUP(F260,[3]Sheet2!$C$10:$E$231,3,FALSE)</f>
        <v>Transport lokal dan parkir - TP</v>
      </c>
      <c r="I260" s="58" t="s">
        <v>423</v>
      </c>
      <c r="J260" s="59" t="s">
        <v>424</v>
      </c>
      <c r="K260" s="21"/>
      <c r="L260" s="21"/>
      <c r="M260" s="16"/>
    </row>
    <row r="261" spans="1:13" ht="17.100000000000001" customHeight="1">
      <c r="A261" s="17">
        <v>46080</v>
      </c>
      <c r="B261" s="55" t="s">
        <v>326</v>
      </c>
      <c r="C261" s="55">
        <v>256</v>
      </c>
      <c r="D261" s="18" t="s">
        <v>327</v>
      </c>
      <c r="E261" s="42">
        <v>2500000</v>
      </c>
      <c r="F261" s="26" t="s">
        <v>328</v>
      </c>
      <c r="G261" s="53" t="str">
        <f>VLOOKUP(F261,[3]Sheet2!$C$10:$E$231,2,FALSE)</f>
        <v>06.1.01.02.27</v>
      </c>
      <c r="H261" s="57" t="str">
        <f>VLOOKUP(F261,[3]Sheet2!$C$10:$E$231,3,FALSE)</f>
        <v>Kepanitiaan kegiatan</v>
      </c>
      <c r="I261" s="58" t="s">
        <v>423</v>
      </c>
      <c r="J261" s="59" t="s">
        <v>424</v>
      </c>
      <c r="K261" s="21"/>
      <c r="L261" s="21"/>
      <c r="M261" s="16"/>
    </row>
    <row r="262" spans="1:13" ht="17.100000000000001" customHeight="1">
      <c r="A262" s="17">
        <v>46080</v>
      </c>
      <c r="B262" s="55" t="s">
        <v>329</v>
      </c>
      <c r="C262" s="55">
        <v>257</v>
      </c>
      <c r="D262" s="18" t="s">
        <v>330</v>
      </c>
      <c r="E262" s="42">
        <v>3350000</v>
      </c>
      <c r="F262" s="26" t="s">
        <v>307</v>
      </c>
      <c r="G262" s="53" t="str">
        <f>VLOOKUP(F262,[3]Sheet2!$C$10:$E$231,2,FALSE)</f>
        <v>06.1.02.03.12</v>
      </c>
      <c r="H262" s="57" t="str">
        <f>VLOOKUP(F262,[3]Sheet2!$C$10:$E$231,3,FALSE)</f>
        <v>Seleksi Penerimaan Mahasiswa Baru - TP</v>
      </c>
      <c r="I262" s="58" t="s">
        <v>423</v>
      </c>
      <c r="J262" s="59" t="s">
        <v>424</v>
      </c>
      <c r="K262" s="21"/>
      <c r="L262" s="21"/>
      <c r="M262" s="16"/>
    </row>
    <row r="263" spans="1:13" ht="17.100000000000001" customHeight="1">
      <c r="A263" s="17">
        <v>46080</v>
      </c>
      <c r="B263" s="55" t="s">
        <v>331</v>
      </c>
      <c r="C263" s="55">
        <v>258</v>
      </c>
      <c r="D263" s="18" t="s">
        <v>332</v>
      </c>
      <c r="E263" s="42">
        <v>4200000</v>
      </c>
      <c r="F263" s="26" t="s">
        <v>307</v>
      </c>
      <c r="G263" s="53" t="str">
        <f>VLOOKUP(F263,[3]Sheet2!$C$10:$E$231,2,FALSE)</f>
        <v>06.1.02.03.12</v>
      </c>
      <c r="H263" s="57" t="str">
        <f>VLOOKUP(F263,[3]Sheet2!$C$10:$E$231,3,FALSE)</f>
        <v>Seleksi Penerimaan Mahasiswa Baru - TP</v>
      </c>
      <c r="I263" s="58" t="s">
        <v>423</v>
      </c>
      <c r="J263" s="59" t="s">
        <v>424</v>
      </c>
      <c r="K263" s="21"/>
      <c r="L263" s="21"/>
      <c r="M263" s="16"/>
    </row>
    <row r="264" spans="1:13" ht="17.100000000000001" customHeight="1">
      <c r="A264" s="17">
        <v>46080</v>
      </c>
      <c r="B264" s="55" t="s">
        <v>333</v>
      </c>
      <c r="C264" s="55">
        <v>259</v>
      </c>
      <c r="D264" s="18" t="s">
        <v>334</v>
      </c>
      <c r="E264" s="42">
        <v>14400000</v>
      </c>
      <c r="F264" s="31" t="s">
        <v>335</v>
      </c>
      <c r="G264" s="53" t="str">
        <f>VLOOKUP(F264,[3]Sheet2!$C$10:$E$231,2,FALSE)</f>
        <v>06.1.02.07.15</v>
      </c>
      <c r="H264" s="57" t="str">
        <f>VLOOKUP(F264,[3]Sheet2!$C$10:$E$231,3,FALSE)</f>
        <v>Honor UTS dan UAS Teori, Praktikum dan Klinik Prodi PSPPA Fakultas Farmasi - TP</v>
      </c>
      <c r="I264" s="58" t="s">
        <v>423</v>
      </c>
      <c r="J264" s="59" t="s">
        <v>424</v>
      </c>
      <c r="K264" s="21"/>
      <c r="L264" s="21"/>
      <c r="M264" s="16"/>
    </row>
    <row r="265" spans="1:13" ht="17.100000000000001" customHeight="1">
      <c r="A265" s="17">
        <v>46080</v>
      </c>
      <c r="B265" s="55" t="s">
        <v>336</v>
      </c>
      <c r="C265" s="55">
        <v>260</v>
      </c>
      <c r="D265" s="18" t="s">
        <v>337</v>
      </c>
      <c r="E265" s="42">
        <v>3600000</v>
      </c>
      <c r="F265" s="31" t="s">
        <v>335</v>
      </c>
      <c r="G265" s="53" t="str">
        <f>VLOOKUP(F265,[3]Sheet2!$C$10:$E$231,2,FALSE)</f>
        <v>06.1.02.07.15</v>
      </c>
      <c r="H265" s="57" t="str">
        <f>VLOOKUP(F265,[3]Sheet2!$C$10:$E$231,3,FALSE)</f>
        <v>Honor UTS dan UAS Teori, Praktikum dan Klinik Prodi PSPPA Fakultas Farmasi - TP</v>
      </c>
      <c r="I265" s="58" t="s">
        <v>423</v>
      </c>
      <c r="J265" s="59" t="s">
        <v>424</v>
      </c>
      <c r="K265" s="21"/>
      <c r="L265" s="21"/>
      <c r="M265" s="16"/>
    </row>
    <row r="266" spans="1:13" ht="17.100000000000001" customHeight="1">
      <c r="A266" s="17">
        <v>46080</v>
      </c>
      <c r="B266" s="55" t="s">
        <v>338</v>
      </c>
      <c r="C266" s="55">
        <v>261</v>
      </c>
      <c r="D266" s="18" t="s">
        <v>339</v>
      </c>
      <c r="E266" s="42">
        <v>2400000</v>
      </c>
      <c r="F266" s="31" t="s">
        <v>257</v>
      </c>
      <c r="G266" s="53" t="str">
        <f>VLOOKUP(F266,[3]Sheet2!$C$10:$E$231,2,FALSE)</f>
        <v>06.1.01.01.01</v>
      </c>
      <c r="H266" s="57" t="str">
        <f>VLOOKUP(F266,[3]Sheet2!$C$10:$E$231,3,FALSE)</f>
        <v>Gaji pokok karyawan - TP</v>
      </c>
      <c r="I266" s="58" t="s">
        <v>423</v>
      </c>
      <c r="J266" s="59" t="s">
        <v>424</v>
      </c>
      <c r="K266" s="21"/>
      <c r="L266" s="21"/>
      <c r="M266" s="16"/>
    </row>
    <row r="267" spans="1:13" ht="17.100000000000001" customHeight="1">
      <c r="A267" s="17">
        <v>46080</v>
      </c>
      <c r="B267" s="55" t="s">
        <v>340</v>
      </c>
      <c r="C267" s="55">
        <v>262</v>
      </c>
      <c r="D267" s="18" t="s">
        <v>341</v>
      </c>
      <c r="E267" s="42">
        <v>401369349</v>
      </c>
      <c r="F267" s="31" t="s">
        <v>257</v>
      </c>
      <c r="G267" s="53" t="str">
        <f>VLOOKUP(F267,[3]Sheet2!$C$10:$E$231,2,FALSE)</f>
        <v>06.1.01.01.01</v>
      </c>
      <c r="H267" s="57" t="str">
        <f>VLOOKUP(F267,[3]Sheet2!$C$10:$E$231,3,FALSE)</f>
        <v>Gaji pokok karyawan - TP</v>
      </c>
      <c r="I267" s="58" t="s">
        <v>423</v>
      </c>
      <c r="J267" s="59" t="s">
        <v>424</v>
      </c>
      <c r="K267" s="21"/>
      <c r="L267" s="21"/>
      <c r="M267" s="16"/>
    </row>
    <row r="268" spans="1:13" ht="17.100000000000001" customHeight="1">
      <c r="A268" s="17">
        <v>46080</v>
      </c>
      <c r="B268" s="55" t="s">
        <v>340</v>
      </c>
      <c r="C268" s="55">
        <v>263</v>
      </c>
      <c r="D268" s="18" t="s">
        <v>342</v>
      </c>
      <c r="E268" s="42">
        <f>700000+500000+3300000</f>
        <v>4500000</v>
      </c>
      <c r="F268" s="31" t="s">
        <v>343</v>
      </c>
      <c r="G268" s="53" t="str">
        <f>VLOOKUP(F268,[3]Sheet2!$C$10:$E$231,2,FALSE)</f>
        <v>06.1.01.01.04</v>
      </c>
      <c r="H268" s="57" t="str">
        <f>VLOOKUP(F268,[3]Sheet2!$C$10:$E$231,3,FALSE)</f>
        <v>Insentif Senat - TP</v>
      </c>
      <c r="I268" s="58" t="s">
        <v>423</v>
      </c>
      <c r="J268" s="59" t="s">
        <v>424</v>
      </c>
      <c r="K268" s="21"/>
      <c r="L268" s="21"/>
      <c r="M268" s="16"/>
    </row>
    <row r="269" spans="1:13" ht="17.100000000000001" customHeight="1">
      <c r="A269" s="17">
        <v>46080</v>
      </c>
      <c r="B269" s="55" t="s">
        <v>340</v>
      </c>
      <c r="C269" s="55">
        <v>264</v>
      </c>
      <c r="D269" s="18" t="s">
        <v>344</v>
      </c>
      <c r="E269" s="42">
        <v>76800000</v>
      </c>
      <c r="F269" s="31" t="s">
        <v>345</v>
      </c>
      <c r="G269" s="53" t="str">
        <f>VLOOKUP(F269,[3]Sheet2!$C$10:$E$231,2,FALSE)</f>
        <v>06.1.01.01.02</v>
      </c>
      <c r="H269" s="57" t="str">
        <f>VLOOKUP(F269,[3]Sheet2!$C$10:$E$231,3,FALSE)</f>
        <v>Tunjangan Struktural - TP</v>
      </c>
      <c r="I269" s="58" t="s">
        <v>423</v>
      </c>
      <c r="J269" s="59" t="s">
        <v>424</v>
      </c>
      <c r="K269" s="21"/>
      <c r="L269" s="21"/>
      <c r="M269" s="16"/>
    </row>
    <row r="270" spans="1:13" ht="17.100000000000001" customHeight="1">
      <c r="A270" s="17">
        <v>46080</v>
      </c>
      <c r="B270" s="55" t="s">
        <v>340</v>
      </c>
      <c r="C270" s="55">
        <v>265</v>
      </c>
      <c r="D270" s="18" t="s">
        <v>346</v>
      </c>
      <c r="E270" s="42">
        <v>81150000</v>
      </c>
      <c r="F270" s="31" t="s">
        <v>347</v>
      </c>
      <c r="G270" s="53" t="str">
        <f>VLOOKUP(F270,[3]Sheet2!$C$10:$E$231,2,FALSE)</f>
        <v>06.1.01.01.03</v>
      </c>
      <c r="H270" s="57" t="str">
        <f>VLOOKUP(F270,[3]Sheet2!$C$10:$E$231,3,FALSE)</f>
        <v>Tunjangan fungsional dosen dan tendik - TP</v>
      </c>
      <c r="I270" s="58" t="s">
        <v>423</v>
      </c>
      <c r="J270" s="59" t="s">
        <v>424</v>
      </c>
      <c r="K270" s="21"/>
      <c r="L270" s="21"/>
      <c r="M270" s="16"/>
    </row>
    <row r="271" spans="1:13" ht="17.100000000000001" customHeight="1">
      <c r="A271" s="17">
        <v>46080</v>
      </c>
      <c r="B271" s="55" t="s">
        <v>340</v>
      </c>
      <c r="C271" s="55">
        <v>266</v>
      </c>
      <c r="D271" s="18" t="s">
        <v>348</v>
      </c>
      <c r="E271" s="42">
        <v>1035090</v>
      </c>
      <c r="F271" s="31" t="s">
        <v>257</v>
      </c>
      <c r="G271" s="53" t="str">
        <f>VLOOKUP(F271,[3]Sheet2!$C$10:$E$231,2,FALSE)</f>
        <v>06.1.01.01.01</v>
      </c>
      <c r="H271" s="57" t="str">
        <f>VLOOKUP(F271,[3]Sheet2!$C$10:$E$231,3,FALSE)</f>
        <v>Gaji pokok karyawan - TP</v>
      </c>
      <c r="I271" s="58" t="s">
        <v>423</v>
      </c>
      <c r="J271" s="59" t="s">
        <v>424</v>
      </c>
      <c r="K271" s="21"/>
      <c r="L271" s="21"/>
      <c r="M271" s="16"/>
    </row>
    <row r="272" spans="1:13" ht="17.100000000000001" customHeight="1">
      <c r="A272" s="17">
        <v>46080</v>
      </c>
      <c r="B272" s="55" t="s">
        <v>340</v>
      </c>
      <c r="C272" s="55">
        <v>267</v>
      </c>
      <c r="D272" s="18" t="s">
        <v>349</v>
      </c>
      <c r="E272" s="42">
        <v>1357500</v>
      </c>
      <c r="F272" s="31" t="s">
        <v>350</v>
      </c>
      <c r="G272" s="53" t="str">
        <f>VLOOKUP(F272,[3]Sheet2!$C$10:$E$231,2,FALSE)</f>
        <v>06.1.02.08.16</v>
      </c>
      <c r="H272" s="57" t="str">
        <f>VLOOKUP(F272,[3]Sheet2!$C$10:$E$231,3,FALSE)</f>
        <v>Honor Dosen Wali Program Studi Keperawatan - TP</v>
      </c>
      <c r="I272" s="58" t="s">
        <v>423</v>
      </c>
      <c r="J272" s="59" t="s">
        <v>424</v>
      </c>
      <c r="K272" s="21"/>
      <c r="L272" s="21"/>
      <c r="M272" s="16"/>
    </row>
    <row r="273" spans="1:13" ht="17.100000000000001" customHeight="1">
      <c r="A273" s="17">
        <v>46080</v>
      </c>
      <c r="B273" s="55" t="s">
        <v>340</v>
      </c>
      <c r="C273" s="55">
        <v>268</v>
      </c>
      <c r="D273" s="18" t="s">
        <v>351</v>
      </c>
      <c r="E273" s="42">
        <v>1050000</v>
      </c>
      <c r="F273" s="31" t="s">
        <v>352</v>
      </c>
      <c r="G273" s="53" t="str">
        <f>VLOOKUP(F273,[3]Sheet2!$C$10:$E$231,2,FALSE)</f>
        <v>06.1.02.08.35</v>
      </c>
      <c r="H273" s="57" t="str">
        <f>VLOOKUP(F273,[3]Sheet2!$C$10:$E$231,3,FALSE)</f>
        <v>Honor Dosen Wali Program Studi Analis Kesehatan - TP</v>
      </c>
      <c r="I273" s="58" t="s">
        <v>423</v>
      </c>
      <c r="J273" s="59" t="s">
        <v>424</v>
      </c>
      <c r="K273" s="21"/>
      <c r="L273" s="21"/>
      <c r="M273" s="16"/>
    </row>
    <row r="274" spans="1:13" ht="17.100000000000001" customHeight="1">
      <c r="A274" s="17">
        <v>46080</v>
      </c>
      <c r="B274" s="55" t="s">
        <v>340</v>
      </c>
      <c r="C274" s="55">
        <v>269</v>
      </c>
      <c r="D274" s="18" t="s">
        <v>353</v>
      </c>
      <c r="E274" s="42">
        <v>765000</v>
      </c>
      <c r="F274" s="31" t="s">
        <v>354</v>
      </c>
      <c r="G274" s="53" t="str">
        <f>VLOOKUP(F274,[3]Sheet2!$C$10:$E$231,2,FALSE)</f>
        <v>06.1.02.08.05</v>
      </c>
      <c r="H274" s="57" t="str">
        <f>VLOOKUP(F274,[3]Sheet2!$C$10:$E$231,3,FALSE)</f>
        <v>Honor Dosen Wali Program Studi Optometri - TP</v>
      </c>
      <c r="I274" s="58" t="s">
        <v>423</v>
      </c>
      <c r="J274" s="59" t="s">
        <v>424</v>
      </c>
      <c r="K274" s="21"/>
      <c r="L274" s="21"/>
      <c r="M274" s="16"/>
    </row>
    <row r="275" spans="1:13" ht="17.100000000000001" customHeight="1">
      <c r="A275" s="17">
        <v>46080</v>
      </c>
      <c r="B275" s="55" t="s">
        <v>340</v>
      </c>
      <c r="C275" s="55">
        <v>270</v>
      </c>
      <c r="D275" s="18" t="s">
        <v>355</v>
      </c>
      <c r="E275" s="42">
        <v>1335000</v>
      </c>
      <c r="F275" s="31" t="s">
        <v>356</v>
      </c>
      <c r="G275" s="53" t="str">
        <f>VLOOKUP(F275,[3]Sheet2!$C$10:$E$231,2,FALSE)</f>
        <v>06.1.02.08.47</v>
      </c>
      <c r="H275" s="57" t="str">
        <f>VLOOKUP(F275,[3]Sheet2!$C$10:$E$231,3,FALSE)</f>
        <v>Honor Dosen Wali Program Studi Administrasi Rumahsakit - TP</v>
      </c>
      <c r="I275" s="58" t="s">
        <v>423</v>
      </c>
      <c r="J275" s="59" t="s">
        <v>424</v>
      </c>
      <c r="K275" s="21"/>
      <c r="L275" s="21"/>
      <c r="M275" s="16"/>
    </row>
    <row r="276" spans="1:13" ht="17.100000000000001" customHeight="1">
      <c r="A276" s="17">
        <v>46080</v>
      </c>
      <c r="B276" s="55" t="s">
        <v>340</v>
      </c>
      <c r="C276" s="55">
        <v>271</v>
      </c>
      <c r="D276" s="18" t="s">
        <v>357</v>
      </c>
      <c r="E276" s="42">
        <v>1110000</v>
      </c>
      <c r="F276" s="31" t="s">
        <v>358</v>
      </c>
      <c r="G276" s="53" t="str">
        <f>VLOOKUP(F276,[3]Sheet2!$C$10:$E$231,2,FALSE)</f>
        <v>06.1.02.08.16</v>
      </c>
      <c r="H276" s="57" t="str">
        <f>VLOOKUP(F276,[3]Sheet2!$C$10:$E$231,3,FALSE)</f>
        <v>Honor Dosen Wali Program Studi Keperawatan - TP</v>
      </c>
      <c r="I276" s="58" t="s">
        <v>423</v>
      </c>
      <c r="J276" s="59" t="s">
        <v>424</v>
      </c>
      <c r="K276" s="21"/>
      <c r="L276" s="21"/>
      <c r="M276" s="16"/>
    </row>
    <row r="277" spans="1:13" ht="17.100000000000001" customHeight="1">
      <c r="A277" s="17">
        <v>46080</v>
      </c>
      <c r="B277" s="55" t="s">
        <v>340</v>
      </c>
      <c r="C277" s="55">
        <v>272</v>
      </c>
      <c r="D277" s="18" t="s">
        <v>359</v>
      </c>
      <c r="E277" s="42">
        <v>52500</v>
      </c>
      <c r="F277" s="31" t="s">
        <v>360</v>
      </c>
      <c r="G277" s="53" t="str">
        <f>VLOOKUP(F277,[3]Sheet2!$C$10:$E$231,2,FALSE)</f>
        <v>06.1.02.07.14</v>
      </c>
      <c r="H277" s="57" t="str">
        <f>VLOOKUP(F277,[3]Sheet2!$C$10:$E$231,3,FALSE)</f>
        <v>Honor Dosen Wali Prodi PSPPA Fakultas Farmasi - TP</v>
      </c>
      <c r="I277" s="58" t="s">
        <v>423</v>
      </c>
      <c r="J277" s="59" t="s">
        <v>424</v>
      </c>
      <c r="K277" s="21"/>
      <c r="L277" s="21"/>
      <c r="M277" s="16"/>
    </row>
    <row r="278" spans="1:13" ht="17.100000000000001" customHeight="1">
      <c r="A278" s="17">
        <v>46080</v>
      </c>
      <c r="B278" s="55" t="s">
        <v>340</v>
      </c>
      <c r="C278" s="55">
        <v>273</v>
      </c>
      <c r="D278" s="18" t="s">
        <v>361</v>
      </c>
      <c r="E278" s="42">
        <v>6435000</v>
      </c>
      <c r="F278" s="31" t="s">
        <v>362</v>
      </c>
      <c r="G278" s="53" t="str">
        <f>VLOOKUP(F278,[3]Sheet2!$C$10:$E$231,2,FALSE)</f>
        <v>06.1.02.07.05</v>
      </c>
      <c r="H278" s="57" t="str">
        <f>VLOOKUP(F278,[3]Sheet2!$C$10:$E$231,3,FALSE)</f>
        <v>Honor Dosen Wali Program Studi Farmasi - TP</v>
      </c>
      <c r="I278" s="58" t="s">
        <v>423</v>
      </c>
      <c r="J278" s="59" t="s">
        <v>424</v>
      </c>
      <c r="K278" s="21"/>
      <c r="L278" s="21"/>
      <c r="M278" s="16"/>
    </row>
    <row r="279" spans="1:13" ht="17.100000000000001" customHeight="1">
      <c r="A279" s="17">
        <v>46080</v>
      </c>
      <c r="B279" s="55" t="s">
        <v>340</v>
      </c>
      <c r="C279" s="55">
        <v>274</v>
      </c>
      <c r="D279" s="18" t="s">
        <v>363</v>
      </c>
      <c r="E279" s="42">
        <v>1537500</v>
      </c>
      <c r="F279" s="31" t="s">
        <v>362</v>
      </c>
      <c r="G279" s="53" t="str">
        <f>VLOOKUP(F279,[3]Sheet2!$C$10:$E$231,2,FALSE)</f>
        <v>06.1.02.07.05</v>
      </c>
      <c r="H279" s="57" t="str">
        <f>VLOOKUP(F279,[3]Sheet2!$C$10:$E$231,3,FALSE)</f>
        <v>Honor Dosen Wali Program Studi Farmasi - TP</v>
      </c>
      <c r="I279" s="58" t="s">
        <v>423</v>
      </c>
      <c r="J279" s="59" t="s">
        <v>424</v>
      </c>
      <c r="K279" s="21"/>
      <c r="L279" s="21"/>
      <c r="M279" s="16"/>
    </row>
    <row r="280" spans="1:13" ht="17.100000000000001" customHeight="1">
      <c r="A280" s="17">
        <v>46080</v>
      </c>
      <c r="B280" s="55" t="s">
        <v>340</v>
      </c>
      <c r="C280" s="55">
        <v>275</v>
      </c>
      <c r="D280" s="18" t="s">
        <v>364</v>
      </c>
      <c r="E280" s="42">
        <v>1650000</v>
      </c>
      <c r="F280" s="31" t="s">
        <v>365</v>
      </c>
      <c r="G280" s="53" t="str">
        <f>VLOOKUP(F280,[3]Sheet2!$C$10:$E$231,2,FALSE)</f>
        <v>06.1.02.07.14</v>
      </c>
      <c r="H280" s="57" t="str">
        <f>VLOOKUP(F280,[3]Sheet2!$C$10:$E$231,3,FALSE)</f>
        <v>Honor Dosen Wali Prodi PSPPA Fakultas Farmasi - TP</v>
      </c>
      <c r="I280" s="58" t="s">
        <v>423</v>
      </c>
      <c r="J280" s="59" t="s">
        <v>424</v>
      </c>
      <c r="K280" s="21"/>
      <c r="L280" s="21"/>
      <c r="M280" s="16"/>
    </row>
    <row r="281" spans="1:13" ht="17.100000000000001" customHeight="1">
      <c r="A281" s="17">
        <v>46080</v>
      </c>
      <c r="B281" s="55" t="s">
        <v>340</v>
      </c>
      <c r="C281" s="55">
        <v>276</v>
      </c>
      <c r="D281" s="18" t="s">
        <v>366</v>
      </c>
      <c r="E281" s="42">
        <v>967500</v>
      </c>
      <c r="F281" s="31" t="s">
        <v>367</v>
      </c>
      <c r="G281" s="53" t="str">
        <f>VLOOKUP(F281,[3]Sheet2!$C$10:$E$231,2,FALSE)</f>
        <v>06.1.02.09.10</v>
      </c>
      <c r="H281" s="57" t="str">
        <f>VLOOKUP(F281,[3]Sheet2!$C$10:$E$231,3,FALSE)</f>
        <v>Honor UTS dan UAS Teori, Praktikum dan Klinik Program Studi Bisnis Digital - TP</v>
      </c>
      <c r="I281" s="58" t="s">
        <v>423</v>
      </c>
      <c r="J281" s="59" t="s">
        <v>424</v>
      </c>
      <c r="K281" s="21"/>
      <c r="L281" s="21"/>
      <c r="M281" s="16"/>
    </row>
    <row r="282" spans="1:13" ht="17.100000000000001" customHeight="1">
      <c r="A282" s="17">
        <v>46080</v>
      </c>
      <c r="B282" s="55" t="s">
        <v>340</v>
      </c>
      <c r="C282" s="55">
        <v>277</v>
      </c>
      <c r="D282" s="18" t="s">
        <v>368</v>
      </c>
      <c r="E282" s="42">
        <v>307500</v>
      </c>
      <c r="F282" s="31" t="s">
        <v>369</v>
      </c>
      <c r="G282" s="53" t="str">
        <f>VLOOKUP(F282,[3]Sheet2!$C$10:$E$231,2,FALSE)</f>
        <v>06.1.02.09.19</v>
      </c>
      <c r="H282" s="57" t="str">
        <f>VLOOKUP(F282,[3]Sheet2!$C$10:$E$231,3,FALSE)</f>
        <v>Honor Dosen Wali Program Studi Sistem Informasi</v>
      </c>
      <c r="I282" s="58" t="s">
        <v>423</v>
      </c>
      <c r="J282" s="59" t="s">
        <v>424</v>
      </c>
      <c r="K282" s="21"/>
      <c r="L282" s="21"/>
      <c r="M282" s="16"/>
    </row>
    <row r="283" spans="1:13" ht="17.100000000000001" customHeight="1">
      <c r="A283" s="17">
        <v>46080</v>
      </c>
      <c r="B283" s="55" t="s">
        <v>340</v>
      </c>
      <c r="C283" s="55">
        <v>278</v>
      </c>
      <c r="D283" s="18" t="s">
        <v>370</v>
      </c>
      <c r="E283" s="42">
        <v>465000</v>
      </c>
      <c r="F283" s="31" t="s">
        <v>371</v>
      </c>
      <c r="G283" s="53" t="str">
        <f>VLOOKUP(F283,[3]Sheet2!$C$10:$E$231,2,FALSE)</f>
        <v>06.1.02.09.14</v>
      </c>
      <c r="H283" s="57" t="str">
        <f>VLOOKUP(F283,[3]Sheet2!$C$10:$E$231,3,FALSE)</f>
        <v>Honor Dosen Wali Program Studi Kewirausahaan - TP</v>
      </c>
      <c r="I283" s="58" t="s">
        <v>423</v>
      </c>
      <c r="J283" s="59" t="s">
        <v>424</v>
      </c>
      <c r="K283" s="21"/>
      <c r="L283" s="21"/>
      <c r="M283" s="16"/>
    </row>
    <row r="284" spans="1:13" ht="17.100000000000001" customHeight="1">
      <c r="A284" s="17">
        <v>46080</v>
      </c>
      <c r="B284" s="55" t="s">
        <v>340</v>
      </c>
      <c r="C284" s="55">
        <v>279</v>
      </c>
      <c r="D284" s="18" t="s">
        <v>372</v>
      </c>
      <c r="E284" s="42">
        <v>495000</v>
      </c>
      <c r="F284" s="31" t="s">
        <v>373</v>
      </c>
      <c r="G284" s="53" t="str">
        <f>VLOOKUP(F284,[3]Sheet2!$C$10:$E$231,2,FALSE)</f>
        <v>06.1.02.09.05</v>
      </c>
      <c r="H284" s="57" t="str">
        <f>VLOOKUP(F284,[3]Sheet2!$C$10:$E$231,3,FALSE)</f>
        <v>Honor Dosen Wali Program Studi Teknologi Pangan - TP</v>
      </c>
      <c r="I284" s="58" t="s">
        <v>423</v>
      </c>
      <c r="J284" s="59" t="s">
        <v>424</v>
      </c>
      <c r="K284" s="21"/>
      <c r="L284" s="21"/>
      <c r="M284" s="16"/>
    </row>
    <row r="285" spans="1:13" ht="17.100000000000001" customHeight="1">
      <c r="A285" s="17">
        <v>46080</v>
      </c>
      <c r="B285" s="55" t="s">
        <v>340</v>
      </c>
      <c r="C285" s="55">
        <v>280</v>
      </c>
      <c r="D285" s="18" t="s">
        <v>374</v>
      </c>
      <c r="E285" s="42">
        <v>1808333</v>
      </c>
      <c r="F285" s="31" t="s">
        <v>375</v>
      </c>
      <c r="G285" s="53" t="str">
        <f>VLOOKUP(F285,[3]Sheet2!$C$10:$E$231,2,FALSE)</f>
        <v>06.1.02.07.03</v>
      </c>
      <c r="H285" s="57" t="str">
        <f>VLOOKUP(F285,[3]Sheet2!$C$10:$E$231,3,FALSE)</f>
        <v>Transfor Dosen dan Asisten Luar Program Studi Farmasi - TP</v>
      </c>
      <c r="I285" s="58" t="s">
        <v>423</v>
      </c>
      <c r="J285" s="59" t="s">
        <v>424</v>
      </c>
      <c r="K285" s="21"/>
      <c r="L285" s="21"/>
      <c r="M285" s="16"/>
    </row>
    <row r="286" spans="1:13" ht="17.100000000000001" customHeight="1">
      <c r="A286" s="17">
        <v>46080</v>
      </c>
      <c r="B286" s="55" t="s">
        <v>340</v>
      </c>
      <c r="C286" s="55">
        <v>281</v>
      </c>
      <c r="D286" s="18" t="s">
        <v>376</v>
      </c>
      <c r="E286" s="42">
        <v>7258333</v>
      </c>
      <c r="F286" s="31" t="s">
        <v>377</v>
      </c>
      <c r="G286" s="53" t="str">
        <f>VLOOKUP(F286,[3]Sheet2!$C$10:$E$231,2,FALSE)</f>
        <v>06.1.02.08.12</v>
      </c>
      <c r="H286" s="57" t="str">
        <f>VLOOKUP(F286,[3]Sheet2!$C$10:$E$231,3,FALSE)</f>
        <v>Honor dosen Program Studi Keperawatan - TP</v>
      </c>
      <c r="I286" s="58" t="s">
        <v>423</v>
      </c>
      <c r="J286" s="59" t="s">
        <v>424</v>
      </c>
      <c r="K286" s="21"/>
      <c r="L286" s="21"/>
      <c r="M286" s="16"/>
    </row>
    <row r="287" spans="1:13" ht="17.100000000000001" customHeight="1">
      <c r="A287" s="17">
        <v>46080</v>
      </c>
      <c r="B287" s="55" t="s">
        <v>340</v>
      </c>
      <c r="C287" s="55">
        <v>282</v>
      </c>
      <c r="D287" s="18" t="s">
        <v>378</v>
      </c>
      <c r="E287" s="42">
        <v>9706667</v>
      </c>
      <c r="F287" s="31" t="s">
        <v>379</v>
      </c>
      <c r="G287" s="53" t="str">
        <f>VLOOKUP(F287,[3]Sheet2!$C$10:$E$231,2,FALSE)</f>
        <v>06.1.02.08.12</v>
      </c>
      <c r="H287" s="57" t="str">
        <f>VLOOKUP(F287,[3]Sheet2!$C$10:$E$231,3,FALSE)</f>
        <v>Honor dosen Program Studi Keperawatan - TP</v>
      </c>
      <c r="I287" s="58" t="s">
        <v>423</v>
      </c>
      <c r="J287" s="59" t="s">
        <v>424</v>
      </c>
      <c r="K287" s="21"/>
      <c r="L287" s="21"/>
      <c r="M287" s="16"/>
    </row>
    <row r="288" spans="1:13" ht="17.100000000000001" customHeight="1">
      <c r="A288" s="17">
        <v>46080</v>
      </c>
      <c r="B288" s="55" t="s">
        <v>340</v>
      </c>
      <c r="C288" s="55">
        <v>283</v>
      </c>
      <c r="D288" s="18" t="s">
        <v>380</v>
      </c>
      <c r="E288" s="42">
        <v>8060000</v>
      </c>
      <c r="F288" s="31" t="s">
        <v>381</v>
      </c>
      <c r="G288" s="53" t="str">
        <f>VLOOKUP(F288,[3]Sheet2!$C$10:$E$231,2,FALSE)</f>
        <v>06.1.02.08.31</v>
      </c>
      <c r="H288" s="57" t="str">
        <f>VLOOKUP(F288,[3]Sheet2!$C$10:$E$231,3,FALSE)</f>
        <v>Honor dosen Program Studi Analis Kesehatan - TP</v>
      </c>
      <c r="I288" s="58" t="s">
        <v>423</v>
      </c>
      <c r="J288" s="59" t="s">
        <v>424</v>
      </c>
      <c r="K288" s="21"/>
      <c r="L288" s="21"/>
      <c r="M288" s="16"/>
    </row>
    <row r="289" spans="1:13" ht="17.100000000000001" customHeight="1">
      <c r="A289" s="17">
        <v>46080</v>
      </c>
      <c r="B289" s="55" t="s">
        <v>340</v>
      </c>
      <c r="C289" s="55">
        <v>284</v>
      </c>
      <c r="D289" s="18" t="s">
        <v>382</v>
      </c>
      <c r="E289" s="42">
        <v>8246667</v>
      </c>
      <c r="F289" s="31" t="s">
        <v>383</v>
      </c>
      <c r="G289" s="53" t="str">
        <f>VLOOKUP(F289,[3]Sheet2!$C$10:$E$231,2,FALSE)</f>
        <v>06.1.02.08.01</v>
      </c>
      <c r="H289" s="57" t="str">
        <f>VLOOKUP(F289,[3]Sheet2!$C$10:$E$231,3,FALSE)</f>
        <v>Honor dosen Program Studi Optometri - TP</v>
      </c>
      <c r="I289" s="58" t="s">
        <v>423</v>
      </c>
      <c r="J289" s="59" t="s">
        <v>424</v>
      </c>
      <c r="K289" s="21"/>
      <c r="L289" s="21"/>
      <c r="M289" s="16"/>
    </row>
    <row r="290" spans="1:13" ht="17.100000000000001" customHeight="1">
      <c r="A290" s="17">
        <v>46080</v>
      </c>
      <c r="B290" s="55" t="s">
        <v>340</v>
      </c>
      <c r="C290" s="55">
        <v>285</v>
      </c>
      <c r="D290" s="18" t="s">
        <v>384</v>
      </c>
      <c r="E290" s="42">
        <v>7095833</v>
      </c>
      <c r="F290" s="31" t="s">
        <v>385</v>
      </c>
      <c r="G290" s="53" t="str">
        <f>VLOOKUP(F290,[3]Sheet2!$C$10:$E$231,2,FALSE)</f>
        <v>06.1.02.08.44</v>
      </c>
      <c r="H290" s="57" t="str">
        <f>VLOOKUP(F290,[3]Sheet2!$C$10:$E$231,3,FALSE)</f>
        <v>Honor dosen Program Studi Administrasi Rumahsakit - TP</v>
      </c>
      <c r="I290" s="58" t="s">
        <v>423</v>
      </c>
      <c r="J290" s="59" t="s">
        <v>424</v>
      </c>
      <c r="K290" s="21"/>
      <c r="L290" s="21"/>
      <c r="M290" s="16"/>
    </row>
    <row r="291" spans="1:13" ht="17.100000000000001" customHeight="1">
      <c r="A291" s="17">
        <v>46080</v>
      </c>
      <c r="B291" s="55" t="s">
        <v>340</v>
      </c>
      <c r="C291" s="55">
        <v>286</v>
      </c>
      <c r="D291" s="18" t="s">
        <v>386</v>
      </c>
      <c r="E291" s="42">
        <v>17066667</v>
      </c>
      <c r="F291" s="31" t="s">
        <v>387</v>
      </c>
      <c r="G291" s="53" t="str">
        <f>VLOOKUP(F291,[3]Sheet2!$C$10:$E$231,2,FALSE)</f>
        <v>06.1.02.07.11</v>
      </c>
      <c r="H291" s="57" t="str">
        <f>VLOOKUP(F291,[3]Sheet2!$C$10:$E$231,3,FALSE)</f>
        <v>Honor asisten dosen Prodi PSPPA Fakultas Farmasi - TP</v>
      </c>
      <c r="I291" s="58" t="s">
        <v>423</v>
      </c>
      <c r="J291" s="59" t="s">
        <v>424</v>
      </c>
      <c r="K291" s="21"/>
      <c r="L291" s="21"/>
      <c r="M291" s="16"/>
    </row>
    <row r="292" spans="1:13" ht="17.100000000000001" customHeight="1">
      <c r="A292" s="17">
        <v>46080</v>
      </c>
      <c r="B292" s="55" t="s">
        <v>340</v>
      </c>
      <c r="C292" s="55">
        <v>287</v>
      </c>
      <c r="D292" s="18" t="s">
        <v>388</v>
      </c>
      <c r="E292" s="42">
        <v>9263333</v>
      </c>
      <c r="F292" s="31" t="s">
        <v>389</v>
      </c>
      <c r="G292" s="53" t="str">
        <f>VLOOKUP(F292,[3]Sheet2!$C$10:$E$231,2,FALSE)</f>
        <v>06.1.02.07.01</v>
      </c>
      <c r="H292" s="57" t="str">
        <f>VLOOKUP(F292,[3]Sheet2!$C$10:$E$231,3,FALSE)</f>
        <v>Honor Dosen Program Studi Farmasi  - TP</v>
      </c>
      <c r="I292" s="58" t="s">
        <v>423</v>
      </c>
      <c r="J292" s="59" t="s">
        <v>424</v>
      </c>
      <c r="K292" s="21"/>
      <c r="L292" s="21"/>
      <c r="M292" s="16"/>
    </row>
    <row r="293" spans="1:13" ht="17.100000000000001" customHeight="1">
      <c r="A293" s="17">
        <v>46080</v>
      </c>
      <c r="B293" s="55" t="s">
        <v>340</v>
      </c>
      <c r="C293" s="55">
        <v>288</v>
      </c>
      <c r="D293" s="18" t="s">
        <v>390</v>
      </c>
      <c r="E293" s="42">
        <v>47493333</v>
      </c>
      <c r="F293" s="31" t="s">
        <v>389</v>
      </c>
      <c r="G293" s="53" t="str">
        <f>VLOOKUP(F293,[3]Sheet2!$C$10:$E$231,2,FALSE)</f>
        <v>06.1.02.07.01</v>
      </c>
      <c r="H293" s="57" t="str">
        <f>VLOOKUP(F293,[3]Sheet2!$C$10:$E$231,3,FALSE)</f>
        <v>Honor Dosen Program Studi Farmasi  - TP</v>
      </c>
      <c r="I293" s="58" t="s">
        <v>423</v>
      </c>
      <c r="J293" s="59" t="s">
        <v>424</v>
      </c>
      <c r="K293" s="21"/>
      <c r="L293" s="21"/>
      <c r="M293" s="16"/>
    </row>
    <row r="294" spans="1:13" ht="17.100000000000001" customHeight="1">
      <c r="A294" s="17">
        <v>46080</v>
      </c>
      <c r="B294" s="55" t="s">
        <v>340</v>
      </c>
      <c r="C294" s="55">
        <v>289</v>
      </c>
      <c r="D294" s="18" t="s">
        <v>391</v>
      </c>
      <c r="E294" s="42">
        <v>6423334</v>
      </c>
      <c r="F294" s="31" t="s">
        <v>392</v>
      </c>
      <c r="G294" s="53" t="str">
        <f>VLOOKUP(F294,[3]Sheet2!$C$10:$E$231,2,FALSE)</f>
        <v>06.1.02.09.01</v>
      </c>
      <c r="H294" s="57" t="str">
        <f>VLOOKUP(F294,[3]Sheet2!$C$10:$E$231,3,FALSE)</f>
        <v>Honor dosen Program Studi Teknologi Pangan - TP</v>
      </c>
      <c r="I294" s="58" t="s">
        <v>423</v>
      </c>
      <c r="J294" s="59" t="s">
        <v>424</v>
      </c>
      <c r="K294" s="21"/>
      <c r="L294" s="21"/>
      <c r="M294" s="16"/>
    </row>
    <row r="295" spans="1:13" ht="17.100000000000001" customHeight="1">
      <c r="A295" s="17">
        <v>46080</v>
      </c>
      <c r="B295" s="55" t="s">
        <v>340</v>
      </c>
      <c r="C295" s="55">
        <v>290</v>
      </c>
      <c r="D295" s="18" t="s">
        <v>393</v>
      </c>
      <c r="E295" s="42">
        <v>10526100</v>
      </c>
      <c r="F295" s="31" t="s">
        <v>394</v>
      </c>
      <c r="G295" s="53" t="str">
        <f>VLOOKUP(F295,[3]Sheet2!$C$10:$E$231,2,FALSE)</f>
        <v>06.1.02.09.08</v>
      </c>
      <c r="H295" s="57" t="str">
        <f>VLOOKUP(F295,[3]Sheet2!$C$10:$E$231,3,FALSE)</f>
        <v>Honor Dosen Pakar/Ahli  Program Studi Bisnis Digital - TP</v>
      </c>
      <c r="I295" s="58" t="s">
        <v>423</v>
      </c>
      <c r="J295" s="59" t="s">
        <v>424</v>
      </c>
      <c r="K295" s="21"/>
      <c r="L295" s="21"/>
      <c r="M295" s="16"/>
    </row>
    <row r="296" spans="1:13" ht="17.100000000000001" customHeight="1">
      <c r="A296" s="17">
        <v>46080</v>
      </c>
      <c r="B296" s="55" t="s">
        <v>340</v>
      </c>
      <c r="C296" s="55">
        <v>291</v>
      </c>
      <c r="D296" s="18" t="s">
        <v>395</v>
      </c>
      <c r="E296" s="42">
        <v>3420000</v>
      </c>
      <c r="F296" s="31" t="s">
        <v>396</v>
      </c>
      <c r="G296" s="53" t="str">
        <f>VLOOKUP(F296,[3]Sheet2!$C$10:$E$231,2,FALSE)</f>
        <v>06.1.02.09.18</v>
      </c>
      <c r="H296" s="57" t="str">
        <f>VLOOKUP(F296,[3]Sheet2!$C$10:$E$231,3,FALSE)</f>
        <v>Honor Dosen Program Studi Sistem Informasi</v>
      </c>
      <c r="I296" s="58" t="s">
        <v>423</v>
      </c>
      <c r="J296" s="59" t="s">
        <v>424</v>
      </c>
      <c r="K296" s="21"/>
      <c r="L296" s="21"/>
      <c r="M296" s="16"/>
    </row>
    <row r="297" spans="1:13" ht="17.100000000000001" customHeight="1">
      <c r="A297" s="17">
        <v>46080</v>
      </c>
      <c r="B297" s="55" t="s">
        <v>340</v>
      </c>
      <c r="C297" s="55">
        <v>292</v>
      </c>
      <c r="D297" s="18" t="s">
        <v>397</v>
      </c>
      <c r="E297" s="42">
        <v>5085000</v>
      </c>
      <c r="F297" s="31" t="s">
        <v>398</v>
      </c>
      <c r="G297" s="53" t="str">
        <f>VLOOKUP(F297,[3]Sheet2!$C$10:$E$231,2,FALSE)</f>
        <v>06.1.02.09.12</v>
      </c>
      <c r="H297" s="57" t="str">
        <f>VLOOKUP(F297,[3]Sheet2!$C$10:$E$231,3,FALSE)</f>
        <v>Transfor Dosen dan Asisten Luar Program Studi Kewirausahaan - TP</v>
      </c>
      <c r="I297" s="58" t="s">
        <v>423</v>
      </c>
      <c r="J297" s="59" t="s">
        <v>424</v>
      </c>
      <c r="K297" s="21"/>
      <c r="L297" s="21"/>
      <c r="M297" s="16"/>
    </row>
    <row r="298" spans="1:13" ht="17.100000000000001" customHeight="1">
      <c r="A298" s="17">
        <v>46080</v>
      </c>
      <c r="B298" s="55" t="s">
        <v>340</v>
      </c>
      <c r="C298" s="55">
        <v>293</v>
      </c>
      <c r="D298" s="18" t="s">
        <v>399</v>
      </c>
      <c r="E298" s="42">
        <v>8640000</v>
      </c>
      <c r="F298" s="31" t="s">
        <v>400</v>
      </c>
      <c r="G298" s="53" t="str">
        <f>VLOOKUP(F298,[3]Sheet2!$C$10:$E$231,2,FALSE)</f>
        <v>06.1.02.07.12</v>
      </c>
      <c r="H298" s="57" t="str">
        <f>VLOOKUP(F298,[3]Sheet2!$C$10:$E$231,3,FALSE)</f>
        <v>Transfor Dosen dan Asisten Luar Prodi PSPPA Fakultas Farmasi - TP</v>
      </c>
      <c r="I298" s="58" t="s">
        <v>423</v>
      </c>
      <c r="J298" s="59" t="s">
        <v>424</v>
      </c>
      <c r="K298" s="21"/>
      <c r="L298" s="21"/>
      <c r="M298" s="16"/>
    </row>
    <row r="299" spans="1:13" ht="17.100000000000001" customHeight="1">
      <c r="A299" s="17">
        <v>46080</v>
      </c>
      <c r="B299" s="55" t="s">
        <v>340</v>
      </c>
      <c r="C299" s="55">
        <v>294</v>
      </c>
      <c r="D299" s="18" t="s">
        <v>401</v>
      </c>
      <c r="E299" s="42">
        <v>1440000</v>
      </c>
      <c r="F299" s="31" t="s">
        <v>387</v>
      </c>
      <c r="G299" s="53" t="str">
        <f>VLOOKUP(F299,[3]Sheet2!$C$10:$E$231,2,FALSE)</f>
        <v>06.1.02.07.11</v>
      </c>
      <c r="H299" s="57" t="str">
        <f>VLOOKUP(F299,[3]Sheet2!$C$10:$E$231,3,FALSE)</f>
        <v>Honor asisten dosen Prodi PSPPA Fakultas Farmasi - TP</v>
      </c>
      <c r="I299" s="58" t="s">
        <v>423</v>
      </c>
      <c r="J299" s="59" t="s">
        <v>424</v>
      </c>
      <c r="K299" s="21"/>
      <c r="L299" s="21"/>
      <c r="M299" s="16"/>
    </row>
    <row r="300" spans="1:13" ht="17.100000000000001" customHeight="1">
      <c r="A300" s="17">
        <v>46080</v>
      </c>
      <c r="B300" s="55" t="s">
        <v>402</v>
      </c>
      <c r="C300" s="55">
        <v>295</v>
      </c>
      <c r="D300" s="18" t="s">
        <v>403</v>
      </c>
      <c r="E300" s="42">
        <v>11100000</v>
      </c>
      <c r="F300" s="26" t="s">
        <v>257</v>
      </c>
      <c r="G300" s="53" t="str">
        <f>VLOOKUP(F300,[3]Sheet2!$C$10:$E$231,2,FALSE)</f>
        <v>06.1.01.01.01</v>
      </c>
      <c r="H300" s="57" t="str">
        <f>VLOOKUP(F300,[3]Sheet2!$C$10:$E$231,3,FALSE)</f>
        <v>Gaji pokok karyawan - TP</v>
      </c>
      <c r="I300" s="58" t="s">
        <v>423</v>
      </c>
      <c r="J300" s="59" t="s">
        <v>424</v>
      </c>
      <c r="K300" s="21"/>
      <c r="L300" s="21"/>
      <c r="M300" s="16"/>
    </row>
    <row r="301" spans="1:13" ht="17.100000000000001" customHeight="1">
      <c r="A301" s="17">
        <v>46080</v>
      </c>
      <c r="B301" s="55" t="s">
        <v>404</v>
      </c>
      <c r="C301" s="55">
        <v>296</v>
      </c>
      <c r="D301" s="18" t="s">
        <v>405</v>
      </c>
      <c r="E301" s="42">
        <v>10000000</v>
      </c>
      <c r="F301" s="26" t="s">
        <v>138</v>
      </c>
      <c r="G301" s="53" t="str">
        <f>VLOOKUP(F301,[3]Sheet2!$C$10:$E$231,2,FALSE)</f>
        <v>06.1.02.04.01</v>
      </c>
      <c r="H301" s="57" t="str">
        <f>VLOOKUP(F301,[3]Sheet2!$C$10:$E$231,3,FALSE)</f>
        <v>Kegiatan Kehumas - TP</v>
      </c>
      <c r="I301" s="58" t="s">
        <v>423</v>
      </c>
      <c r="J301" s="59" t="s">
        <v>424</v>
      </c>
      <c r="K301" s="21"/>
      <c r="L301" s="21"/>
      <c r="M301" s="16"/>
    </row>
    <row r="302" spans="1:13" ht="17.100000000000001" customHeight="1">
      <c r="A302" s="17">
        <v>46080</v>
      </c>
      <c r="B302" s="55" t="s">
        <v>406</v>
      </c>
      <c r="C302" s="55">
        <v>297</v>
      </c>
      <c r="D302" s="18" t="s">
        <v>407</v>
      </c>
      <c r="E302" s="42">
        <v>3900000</v>
      </c>
      <c r="F302" s="26" t="s">
        <v>328</v>
      </c>
      <c r="G302" s="53" t="str">
        <f>VLOOKUP(F302,[3]Sheet2!$C$10:$E$231,2,FALSE)</f>
        <v>06.1.01.02.27</v>
      </c>
      <c r="H302" s="57" t="str">
        <f>VLOOKUP(F302,[3]Sheet2!$C$10:$E$231,3,FALSE)</f>
        <v>Kepanitiaan kegiatan</v>
      </c>
      <c r="I302" s="58" t="s">
        <v>423</v>
      </c>
      <c r="J302" s="59" t="s">
        <v>424</v>
      </c>
      <c r="K302" s="21"/>
      <c r="L302" s="21"/>
      <c r="M302" s="16"/>
    </row>
    <row r="303" spans="1:13" ht="33" customHeight="1">
      <c r="A303" s="51" t="s">
        <v>408</v>
      </c>
      <c r="B303" s="52"/>
      <c r="C303" s="52"/>
      <c r="D303" s="52"/>
      <c r="E303" s="43">
        <f>SUM(E6:E302)</f>
        <v>1630441462</v>
      </c>
      <c r="F303" s="44"/>
      <c r="I303" s="45"/>
    </row>
  </sheetData>
  <sheetProtection formatCells="0" formatColumns="0" formatRows="0" insertColumns="0" insertRows="0" insertHyperlinks="0" deleteColumns="0" deleteRows="0" sort="0" autoFilter="0" pivotTables="0"/>
  <autoFilter ref="A5:XFD303" xr:uid="{6BB2092F-FE25-4F2D-9BD4-286FA85A9D23}"/>
  <mergeCells count="4">
    <mergeCell ref="A1:E1"/>
    <mergeCell ref="A2:E2"/>
    <mergeCell ref="A3:E3"/>
    <mergeCell ref="A303:D303"/>
  </mergeCells>
  <printOptions horizontalCentered="1"/>
  <pageMargins left="0.74803149606299202" right="0" top="0.98425196850393704" bottom="0.98425196850393704" header="0.511811023622047" footer="0.511811023622047"/>
  <pageSetup paperSize="5" scale="7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ACCURATE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tikybth2</dc:creator>
  <cp:lastModifiedBy>tikybth2</cp:lastModifiedBy>
  <dcterms:created xsi:type="dcterms:W3CDTF">2026-03-16T01:21:20Z</dcterms:created>
  <dcterms:modified xsi:type="dcterms:W3CDTF">2026-04-01T08:50:03Z</dcterms:modified>
</cp:coreProperties>
</file>